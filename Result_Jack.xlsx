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sdeloitte-my.sharepoint.com/personal/hwang5_deloitte_com_au/Documents/Documents/UiPath/AOPS_UiPath/"/>
    </mc:Choice>
  </mc:AlternateContent>
  <xr:revisionPtr revIDLastSave="444" documentId="13_ncr:1_{D44B7B39-D8B5-4F7C-BE20-9CFE243CE1E7}" xr6:coauthVersionLast="47" xr6:coauthVersionMax="47" xr10:uidLastSave="{0909E333-070F-4906-AB2B-65311A4E3FC2}"/>
  <bookViews>
    <workbookView xWindow="19090" yWindow="-10820" windowWidth="38620" windowHeight="21100" activeTab="4" xr2:uid="{00000000-000D-0000-FFFF-FFFF00000000}"/>
  </bookViews>
  <sheets>
    <sheet name="Algebra" sheetId="2" r:id="rId1"/>
    <sheet name="Intermediate Algebra" sheetId="1" r:id="rId2"/>
    <sheet name="Prealgebra" sheetId="6" r:id="rId3"/>
    <sheet name="4149 Introduction to Algebra A" sheetId="10" r:id="rId4"/>
    <sheet name="4429 Introduction to Algebra B" sheetId="13" r:id="rId5"/>
    <sheet name="Geometry" sheetId="5" r:id="rId6"/>
    <sheet name="Heights" sheetId="11" r:id="rId7"/>
    <sheet name="Sheet1" sheetId="14" r:id="rId8"/>
  </sheets>
  <definedNames>
    <definedName name="_xlnm._FilterDatabase" localSheetId="0" hidden="1">Algebra!$A$1:$J$1</definedName>
    <definedName name="_xlnm._FilterDatabase" localSheetId="5" hidden="1">Geometry!$A$1:$J$30</definedName>
    <definedName name="_xlnm._FilterDatabase" localSheetId="1" hidden="1">'Intermediate Algebra'!$A$1:$J$1</definedName>
    <definedName name="_xlnm._FilterDatabase" localSheetId="2" hidden="1">Prealgebra!$A$1:$J$1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5" l="1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4" i="5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" i="13"/>
  <c r="I4" i="13"/>
  <c r="I2" i="13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" i="2"/>
  <c r="H36" i="13"/>
  <c r="J36" i="13"/>
  <c r="H37" i="13"/>
  <c r="J37" i="13"/>
  <c r="J35" i="13"/>
  <c r="H35" i="13"/>
  <c r="J34" i="13"/>
  <c r="H34" i="13"/>
  <c r="J33" i="13"/>
  <c r="H33" i="13"/>
  <c r="J32" i="13"/>
  <c r="H32" i="13"/>
  <c r="J31" i="13"/>
  <c r="H31" i="13"/>
  <c r="J30" i="13"/>
  <c r="H30" i="13"/>
  <c r="J29" i="13"/>
  <c r="H29" i="13"/>
  <c r="J28" i="13"/>
  <c r="H28" i="13"/>
  <c r="J27" i="13"/>
  <c r="H27" i="13"/>
  <c r="J26" i="13"/>
  <c r="H26" i="13"/>
  <c r="J25" i="13"/>
  <c r="H25" i="13"/>
  <c r="J24" i="13"/>
  <c r="H24" i="13"/>
  <c r="J23" i="13"/>
  <c r="H23" i="13"/>
  <c r="J22" i="13"/>
  <c r="H22" i="13"/>
  <c r="J21" i="13"/>
  <c r="H21" i="13"/>
  <c r="J20" i="13"/>
  <c r="H20" i="13"/>
  <c r="J19" i="13"/>
  <c r="H19" i="13"/>
  <c r="J18" i="13"/>
  <c r="H18" i="13"/>
  <c r="J17" i="13"/>
  <c r="H17" i="13"/>
  <c r="J16" i="13"/>
  <c r="H16" i="13"/>
  <c r="J15" i="13"/>
  <c r="H15" i="13"/>
  <c r="J14" i="13"/>
  <c r="H14" i="13"/>
  <c r="J13" i="13"/>
  <c r="H13" i="13"/>
  <c r="J12" i="13"/>
  <c r="H12" i="13"/>
  <c r="J11" i="13"/>
  <c r="H11" i="13"/>
  <c r="J10" i="13"/>
  <c r="H10" i="13"/>
  <c r="J9" i="13"/>
  <c r="H9" i="13"/>
  <c r="J8" i="13"/>
  <c r="H8" i="13"/>
  <c r="J7" i="13"/>
  <c r="H7" i="13"/>
  <c r="J6" i="13"/>
  <c r="H6" i="13"/>
  <c r="J5" i="13"/>
  <c r="H5" i="13"/>
  <c r="J4" i="13"/>
  <c r="H4" i="13"/>
  <c r="J3" i="13"/>
  <c r="H3" i="13"/>
  <c r="J2" i="13"/>
  <c r="H2" i="13"/>
  <c r="I25" i="10"/>
  <c r="I33" i="10"/>
  <c r="I32" i="10"/>
  <c r="I2" i="10"/>
  <c r="I3" i="10"/>
  <c r="I4" i="10"/>
  <c r="I5" i="10"/>
  <c r="I6" i="10"/>
  <c r="I7" i="10"/>
  <c r="I8" i="10"/>
  <c r="I19" i="10"/>
  <c r="I10" i="10"/>
  <c r="I11" i="10"/>
  <c r="I12" i="10"/>
  <c r="I13" i="10"/>
  <c r="I14" i="10"/>
  <c r="I15" i="10"/>
  <c r="I16" i="10"/>
  <c r="I17" i="10"/>
  <c r="I18" i="10"/>
  <c r="I20" i="10"/>
  <c r="I21" i="10"/>
  <c r="I22" i="10"/>
  <c r="I23" i="10"/>
  <c r="I24" i="10"/>
  <c r="I26" i="10"/>
  <c r="I27" i="10"/>
  <c r="I28" i="10"/>
  <c r="I29" i="10"/>
  <c r="I30" i="10"/>
  <c r="I31" i="10"/>
  <c r="I34" i="10"/>
  <c r="I35" i="10"/>
  <c r="I9" i="10"/>
  <c r="H15" i="10"/>
  <c r="H16" i="10"/>
  <c r="H17" i="10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D2" i="11"/>
  <c r="E3" i="11"/>
  <c r="E4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" i="11"/>
  <c r="H8" i="10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7" i="6"/>
  <c r="I52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3" i="6"/>
  <c r="I54" i="6"/>
  <c r="I55" i="6"/>
  <c r="I56" i="6"/>
  <c r="I58" i="6"/>
  <c r="I59" i="6"/>
  <c r="I16" i="6"/>
  <c r="I9" i="1"/>
  <c r="H32" i="10"/>
  <c r="J32" i="10"/>
  <c r="H33" i="10"/>
  <c r="J33" i="10"/>
  <c r="H34" i="10"/>
  <c r="J34" i="10"/>
  <c r="H35" i="10"/>
  <c r="J35" i="10"/>
  <c r="J31" i="10"/>
  <c r="H31" i="10"/>
  <c r="J30" i="10"/>
  <c r="H30" i="10"/>
  <c r="J29" i="10"/>
  <c r="H29" i="10"/>
  <c r="J28" i="10"/>
  <c r="H28" i="10"/>
  <c r="J27" i="10"/>
  <c r="H27" i="10"/>
  <c r="J26" i="10"/>
  <c r="H26" i="10"/>
  <c r="J25" i="10"/>
  <c r="H25" i="10"/>
  <c r="J24" i="10"/>
  <c r="H24" i="10"/>
  <c r="J23" i="10"/>
  <c r="H23" i="10"/>
  <c r="J22" i="10"/>
  <c r="H22" i="10"/>
  <c r="J21" i="10"/>
  <c r="H21" i="10"/>
  <c r="J20" i="10"/>
  <c r="H20" i="10"/>
  <c r="J19" i="10"/>
  <c r="H19" i="10"/>
  <c r="J18" i="10"/>
  <c r="H18" i="10"/>
  <c r="J17" i="10"/>
  <c r="J16" i="10"/>
  <c r="J15" i="10"/>
  <c r="J14" i="10"/>
  <c r="H14" i="10"/>
  <c r="J13" i="10"/>
  <c r="H13" i="10"/>
  <c r="J12" i="10"/>
  <c r="H12" i="10"/>
  <c r="J11" i="10"/>
  <c r="H11" i="10"/>
  <c r="J10" i="10"/>
  <c r="H10" i="10"/>
  <c r="J9" i="10"/>
  <c r="H9" i="10"/>
  <c r="J8" i="10"/>
  <c r="J7" i="10"/>
  <c r="H7" i="10"/>
  <c r="J6" i="10"/>
  <c r="H6" i="10"/>
  <c r="J5" i="10"/>
  <c r="H5" i="10"/>
  <c r="J4" i="10"/>
  <c r="H4" i="10"/>
  <c r="J3" i="10"/>
  <c r="H3" i="10"/>
  <c r="J2" i="10"/>
  <c r="H2" i="10"/>
  <c r="H33" i="6"/>
  <c r="I3" i="1"/>
  <c r="I4" i="1"/>
  <c r="I5" i="1"/>
  <c r="I6" i="1"/>
  <c r="I7" i="1"/>
  <c r="I8" i="1"/>
  <c r="I2" i="1"/>
  <c r="E61" i="6"/>
  <c r="J59" i="6"/>
  <c r="H59" i="6"/>
  <c r="J58" i="6"/>
  <c r="H58" i="6"/>
  <c r="J57" i="6"/>
  <c r="H57" i="6"/>
  <c r="J56" i="6"/>
  <c r="H56" i="6"/>
  <c r="J55" i="6"/>
  <c r="H55" i="6"/>
  <c r="J54" i="6"/>
  <c r="H54" i="6"/>
  <c r="J53" i="6"/>
  <c r="H53" i="6"/>
  <c r="J52" i="6"/>
  <c r="H52" i="6"/>
  <c r="J51" i="6"/>
  <c r="H51" i="6"/>
  <c r="J50" i="6"/>
  <c r="H50" i="6"/>
  <c r="J49" i="6"/>
  <c r="H49" i="6"/>
  <c r="J48" i="6"/>
  <c r="H48" i="6"/>
  <c r="J47" i="6"/>
  <c r="H47" i="6"/>
  <c r="J46" i="6"/>
  <c r="H46" i="6"/>
  <c r="J45" i="6"/>
  <c r="H45" i="6"/>
  <c r="J44" i="6"/>
  <c r="H44" i="6"/>
  <c r="J43" i="6"/>
  <c r="H43" i="6"/>
  <c r="J42" i="6"/>
  <c r="H42" i="6"/>
  <c r="J41" i="6"/>
  <c r="H41" i="6"/>
  <c r="J40" i="6"/>
  <c r="H40" i="6"/>
  <c r="J39" i="6"/>
  <c r="H39" i="6"/>
  <c r="J38" i="6"/>
  <c r="H38" i="6"/>
  <c r="J37" i="6"/>
  <c r="H37" i="6"/>
  <c r="J36" i="6"/>
  <c r="H36" i="6"/>
  <c r="J35" i="6"/>
  <c r="H35" i="6"/>
  <c r="J34" i="6"/>
  <c r="H34" i="6"/>
  <c r="J33" i="6"/>
  <c r="J32" i="6"/>
  <c r="H32" i="6"/>
  <c r="J31" i="6"/>
  <c r="H31" i="6"/>
  <c r="J30" i="6"/>
  <c r="H30" i="6"/>
  <c r="J29" i="6"/>
  <c r="H29" i="6"/>
  <c r="J28" i="6"/>
  <c r="H28" i="6"/>
  <c r="J27" i="6"/>
  <c r="H27" i="6"/>
  <c r="J26" i="6"/>
  <c r="H26" i="6"/>
  <c r="J25" i="6"/>
  <c r="H25" i="6"/>
  <c r="J24" i="6"/>
  <c r="H24" i="6"/>
  <c r="J23" i="6"/>
  <c r="H23" i="6"/>
  <c r="J22" i="6"/>
  <c r="H22" i="6"/>
  <c r="J21" i="6"/>
  <c r="H21" i="6"/>
  <c r="J20" i="6"/>
  <c r="H20" i="6"/>
  <c r="J19" i="6"/>
  <c r="H19" i="6"/>
  <c r="J18" i="6"/>
  <c r="H18" i="6"/>
  <c r="J17" i="6"/>
  <c r="H17" i="6"/>
  <c r="J16" i="6"/>
  <c r="H16" i="6"/>
  <c r="J15" i="6"/>
  <c r="H15" i="6"/>
  <c r="J14" i="6"/>
  <c r="H14" i="6"/>
  <c r="J13" i="6"/>
  <c r="H13" i="6"/>
  <c r="J12" i="6"/>
  <c r="H12" i="6"/>
  <c r="J11" i="6"/>
  <c r="H11" i="6"/>
  <c r="J10" i="6"/>
  <c r="H10" i="6"/>
  <c r="J9" i="6"/>
  <c r="H9" i="6"/>
  <c r="J8" i="6"/>
  <c r="H8" i="6"/>
  <c r="J7" i="6"/>
  <c r="H7" i="6"/>
  <c r="J6" i="6"/>
  <c r="H6" i="6"/>
  <c r="J5" i="6"/>
  <c r="H5" i="6"/>
  <c r="J4" i="6"/>
  <c r="H4" i="6"/>
  <c r="J3" i="6"/>
  <c r="H3" i="6"/>
  <c r="J2" i="6"/>
  <c r="H2" i="6"/>
  <c r="J8" i="2"/>
  <c r="H3" i="2"/>
  <c r="J3" i="2"/>
  <c r="H4" i="2"/>
  <c r="J4" i="2"/>
  <c r="H5" i="2"/>
  <c r="J5" i="2"/>
  <c r="H6" i="2"/>
  <c r="J6" i="2"/>
  <c r="H7" i="2"/>
  <c r="J7" i="2"/>
  <c r="H8" i="2"/>
  <c r="H9" i="2"/>
  <c r="J9" i="2"/>
  <c r="H10" i="2"/>
  <c r="J10" i="2"/>
  <c r="H11" i="2"/>
  <c r="J11" i="2"/>
  <c r="H12" i="2"/>
  <c r="J12" i="2"/>
  <c r="H13" i="2"/>
  <c r="J13" i="2"/>
  <c r="H14" i="2"/>
  <c r="J14" i="2"/>
  <c r="H15" i="2"/>
  <c r="J15" i="2"/>
  <c r="H16" i="2"/>
  <c r="J16" i="2"/>
  <c r="H17" i="2"/>
  <c r="J17" i="2"/>
  <c r="H18" i="2"/>
  <c r="J18" i="2"/>
  <c r="H19" i="2"/>
  <c r="J19" i="2"/>
  <c r="H20" i="2"/>
  <c r="J20" i="2"/>
  <c r="H21" i="2"/>
  <c r="J21" i="2"/>
  <c r="H22" i="2"/>
  <c r="J22" i="2"/>
  <c r="H23" i="2"/>
  <c r="J23" i="2"/>
  <c r="H24" i="2"/>
  <c r="J24" i="2"/>
  <c r="H25" i="2"/>
  <c r="J25" i="2"/>
  <c r="H26" i="2"/>
  <c r="J26" i="2"/>
  <c r="H27" i="2"/>
  <c r="J27" i="2"/>
  <c r="H28" i="2"/>
  <c r="J28" i="2"/>
  <c r="H29" i="2"/>
  <c r="J29" i="2"/>
  <c r="H30" i="2"/>
  <c r="J30" i="2"/>
  <c r="H31" i="2"/>
  <c r="J31" i="2"/>
  <c r="H32" i="2"/>
  <c r="J32" i="2"/>
  <c r="H33" i="2"/>
  <c r="J33" i="2"/>
  <c r="H34" i="2"/>
  <c r="J34" i="2"/>
  <c r="H35" i="2"/>
  <c r="J35" i="2"/>
  <c r="H36" i="2"/>
  <c r="J36" i="2"/>
  <c r="H37" i="2"/>
  <c r="J37" i="2"/>
  <c r="H38" i="2"/>
  <c r="J38" i="2"/>
  <c r="H39" i="2"/>
  <c r="J39" i="2"/>
  <c r="H40" i="2"/>
  <c r="J40" i="2"/>
  <c r="H41" i="2"/>
  <c r="J41" i="2"/>
  <c r="H42" i="2"/>
  <c r="J42" i="2"/>
  <c r="H43" i="2"/>
  <c r="J43" i="2"/>
  <c r="H44" i="2"/>
  <c r="J44" i="2"/>
  <c r="H45" i="2"/>
  <c r="J45" i="2"/>
  <c r="H46" i="2"/>
  <c r="J46" i="2"/>
  <c r="H47" i="2"/>
  <c r="J47" i="2"/>
  <c r="H48" i="2"/>
  <c r="J48" i="2"/>
  <c r="H49" i="2"/>
  <c r="J49" i="2"/>
  <c r="H50" i="2"/>
  <c r="J50" i="2"/>
  <c r="H51" i="2"/>
  <c r="J51" i="2"/>
  <c r="H52" i="2"/>
  <c r="J52" i="2"/>
  <c r="H53" i="2"/>
  <c r="J53" i="2"/>
  <c r="H54" i="2"/>
  <c r="J54" i="2"/>
  <c r="H55" i="2"/>
  <c r="J55" i="2"/>
  <c r="H56" i="2"/>
  <c r="J56" i="2"/>
  <c r="H57" i="2"/>
  <c r="J57" i="2"/>
  <c r="H58" i="2"/>
  <c r="J58" i="2"/>
  <c r="H59" i="2"/>
  <c r="J59" i="2"/>
  <c r="H60" i="2"/>
  <c r="J60" i="2"/>
  <c r="H61" i="2"/>
  <c r="J61" i="2"/>
  <c r="H62" i="2"/>
  <c r="J62" i="2"/>
  <c r="J2" i="2"/>
  <c r="H2" i="2"/>
  <c r="H31" i="1"/>
  <c r="J31" i="1"/>
  <c r="H32" i="1"/>
  <c r="J32" i="1"/>
  <c r="H33" i="1"/>
  <c r="J33" i="1"/>
  <c r="H34" i="1"/>
  <c r="J34" i="1"/>
  <c r="H35" i="1"/>
  <c r="J35" i="1"/>
  <c r="H36" i="1"/>
  <c r="J36" i="1"/>
  <c r="H37" i="1"/>
  <c r="J37" i="1"/>
  <c r="H38" i="1"/>
  <c r="J38" i="1"/>
  <c r="H39" i="1"/>
  <c r="J39" i="1"/>
  <c r="H40" i="1"/>
  <c r="J40" i="1"/>
  <c r="H41" i="1"/>
  <c r="J41" i="1"/>
  <c r="H42" i="1"/>
  <c r="J42" i="1"/>
  <c r="H43" i="1"/>
  <c r="J43" i="1"/>
  <c r="H44" i="1"/>
  <c r="J44" i="1"/>
  <c r="H45" i="1"/>
  <c r="J45" i="1"/>
  <c r="H46" i="1"/>
  <c r="J46" i="1"/>
  <c r="H47" i="1"/>
  <c r="J47" i="1"/>
  <c r="H48" i="1"/>
  <c r="J48" i="1"/>
  <c r="H49" i="1"/>
  <c r="J49" i="1"/>
  <c r="H50" i="1"/>
  <c r="J50" i="1"/>
  <c r="H51" i="1"/>
  <c r="J51" i="1"/>
  <c r="H52" i="1"/>
  <c r="J52" i="1"/>
  <c r="H53" i="1"/>
  <c r="J53" i="1"/>
  <c r="H54" i="1"/>
  <c r="J54" i="1"/>
  <c r="H55" i="1"/>
  <c r="J55" i="1"/>
  <c r="H56" i="1"/>
  <c r="J56" i="1"/>
  <c r="H57" i="1"/>
  <c r="J57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  <c r="J2" i="1"/>
  <c r="H2" i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2" i="5"/>
  <c r="H39" i="13" l="1"/>
  <c r="I39" i="13"/>
  <c r="I37" i="10"/>
  <c r="H37" i="10"/>
  <c r="H59" i="1"/>
  <c r="I59" i="1"/>
  <c r="I61" i="6"/>
  <c r="H31" i="5"/>
  <c r="H61" i="6"/>
</calcChain>
</file>

<file path=xl/sharedStrings.xml><?xml version="1.0" encoding="utf-8"?>
<sst xmlns="http://schemas.openxmlformats.org/spreadsheetml/2006/main" count="392" uniqueCount="228">
  <si>
    <t>Topic</t>
  </si>
  <si>
    <t>Problems</t>
  </si>
  <si>
    <t>Percent</t>
  </si>
  <si>
    <t>Domain and Range</t>
  </si>
  <si>
    <t>Graphing Functions</t>
  </si>
  <si>
    <t>Inverse Functions</t>
  </si>
  <si>
    <t>Function Composition</t>
  </si>
  <si>
    <t>Complex Number Arithmetic</t>
  </si>
  <si>
    <t>Magnitude of Complex Numbers</t>
  </si>
  <si>
    <t>Basic Complex Numbers</t>
  </si>
  <si>
    <t>Advanced Complex Numbers</t>
  </si>
  <si>
    <t>Quadratic Inequalities</t>
  </si>
  <si>
    <t>Graphing Quadratics</t>
  </si>
  <si>
    <t>Quadratic Formula / Discriminant</t>
  </si>
  <si>
    <t>Sum and Product of Roots</t>
  </si>
  <si>
    <t>Quadratic Optimization</t>
  </si>
  <si>
    <t>Circles</t>
  </si>
  <si>
    <t>Ellipses</t>
  </si>
  <si>
    <t>Hyperbolas</t>
  </si>
  <si>
    <t>Parabolas</t>
  </si>
  <si>
    <t>Advanced Conic Sections</t>
  </si>
  <si>
    <t>Polynomial Division Algorithms</t>
  </si>
  <si>
    <t>Remainder and Factor Theorem</t>
  </si>
  <si>
    <t>Basic Polynomial Forms</t>
  </si>
  <si>
    <t>Advanced Polynomial Forms</t>
  </si>
  <si>
    <t>Integer / Rational Roots</t>
  </si>
  <si>
    <t>Irrational Roots</t>
  </si>
  <si>
    <t>Complex Roots</t>
  </si>
  <si>
    <t>Polynomial Interpolation</t>
  </si>
  <si>
    <t>Vieta's Formulas</t>
  </si>
  <si>
    <t>Basic Polynomial Roots</t>
  </si>
  <si>
    <t>Advanced Polynomial Roots</t>
  </si>
  <si>
    <t>Arithmetic Sequences and Series</t>
  </si>
  <si>
    <t>Geometric Sequences and Series</t>
  </si>
  <si>
    <t>Telescoping Series</t>
  </si>
  <si>
    <t>General Sequences and Series</t>
  </si>
  <si>
    <t>Recursively Defined Sequences</t>
  </si>
  <si>
    <t>Advanced Sequences and Series</t>
  </si>
  <si>
    <t>Exponents and Logarithms</t>
  </si>
  <si>
    <t>Radicals</t>
  </si>
  <si>
    <t>Floor and Ceiling</t>
  </si>
  <si>
    <t>Even and Odd Functions</t>
  </si>
  <si>
    <t>Absolute Value</t>
  </si>
  <si>
    <t>Piecewise-Defined Functions</t>
  </si>
  <si>
    <t>Graphs of Rational Functions</t>
  </si>
  <si>
    <t>Basic Rational Function Equations and Inequalities</t>
  </si>
  <si>
    <t>Advanced Rational Function Equations and Inequalities</t>
  </si>
  <si>
    <t>Partial Fractions</t>
  </si>
  <si>
    <t>General Inequality Skills</t>
  </si>
  <si>
    <t>AM-GM Inequality</t>
  </si>
  <si>
    <t>Cauchy-Schwarz Inequality</t>
  </si>
  <si>
    <t>Power Mean Inequality</t>
  </si>
  <si>
    <t>Advanced Inequalities</t>
  </si>
  <si>
    <t>Advanced Algebraic Manipulations</t>
  </si>
  <si>
    <t>Factorization Identities</t>
  </si>
  <si>
    <t>Basic Functional Equations</t>
  </si>
  <si>
    <t>Advanced Functional Equations</t>
  </si>
  <si>
    <t>Systems of Equations</t>
  </si>
  <si>
    <t>Binomial Theorem</t>
  </si>
  <si>
    <t>Incorrect</t>
  </si>
  <si>
    <t>Prerequisites - Arithmetic Review</t>
  </si>
  <si>
    <t>Prerequisites - Exponent Laws</t>
  </si>
  <si>
    <t>Prerequisites - Square Roots</t>
  </si>
  <si>
    <t>Prerequisites - Fractional Exponents</t>
  </si>
  <si>
    <t>Evaluating Expressions</t>
  </si>
  <si>
    <t>Simplifying One-Variable Expressions</t>
  </si>
  <si>
    <t>One-Variable Distribution</t>
  </si>
  <si>
    <t>One-Variable Linear Equations</t>
  </si>
  <si>
    <t>Word Problems in One Variable</t>
  </si>
  <si>
    <t>Linear Equations in Disguise</t>
  </si>
  <si>
    <t>Solving Two-Variable Systems</t>
  </si>
  <si>
    <t>Two-Variable Word Problems</t>
  </si>
  <si>
    <t>Advanced Systems of Equations</t>
  </si>
  <si>
    <t>Ratios</t>
  </si>
  <si>
    <t>Unit Conversions</t>
  </si>
  <si>
    <t>Percents</t>
  </si>
  <si>
    <t>Direct Proportion</t>
  </si>
  <si>
    <t>Inverse Proportion</t>
  </si>
  <si>
    <t>Rate Problems</t>
  </si>
  <si>
    <t>Distance in the Plane</t>
  </si>
  <si>
    <t>Midpoint of a Segment</t>
  </si>
  <si>
    <t>Graphing Lines</t>
  </si>
  <si>
    <t>Graphing Multiple Lines</t>
  </si>
  <si>
    <t>Solving Linear Inequalities</t>
  </si>
  <si>
    <t>Multiplying Binomials</t>
  </si>
  <si>
    <t>Factoring Monic Quadratics</t>
  </si>
  <si>
    <t>Factoring General Quadratics</t>
  </si>
  <si>
    <t>Square of a Binomial</t>
  </si>
  <si>
    <t>Difference-of-Squares</t>
  </si>
  <si>
    <t>Rationalizing Denominators</t>
  </si>
  <si>
    <t>Simon's Favorite Factoring Trick</t>
  </si>
  <si>
    <t>Quadratic Formula/Discriminant</t>
  </si>
  <si>
    <t>Completing the Square</t>
  </si>
  <si>
    <t>Advanced Quadratics</t>
  </si>
  <si>
    <t>Graphing Circles</t>
  </si>
  <si>
    <t>Evaluating Functions</t>
  </si>
  <si>
    <t>Functional Operations</t>
  </si>
  <si>
    <t>Polynomial Basics</t>
  </si>
  <si>
    <t>Polynomial Multiplication</t>
  </si>
  <si>
    <t>Exponential and Logarithm Basics</t>
  </si>
  <si>
    <t>Interest Rates</t>
  </si>
  <si>
    <t>Logarithm Basics</t>
  </si>
  <si>
    <t>Radical Expressions and Functions</t>
  </si>
  <si>
    <t>Rational Expressions of Polynomials</t>
  </si>
  <si>
    <t>Arithmetic Sequences</t>
  </si>
  <si>
    <t>Arithmetic Series</t>
  </si>
  <si>
    <t>Geometric Sequences</t>
  </si>
  <si>
    <t>Geometric Series</t>
  </si>
  <si>
    <t>Clever Algebraic Manipulations</t>
  </si>
  <si>
    <t>Multiples</t>
  </si>
  <si>
    <t>Divisors</t>
  </si>
  <si>
    <t>Primes and Composites Basics</t>
  </si>
  <si>
    <t>Prime Factorization</t>
  </si>
  <si>
    <t>Least Common Multiple</t>
  </si>
  <si>
    <t>Greatest Common Divisor</t>
  </si>
  <si>
    <t>Repeating Decimals</t>
  </si>
  <si>
    <t>Venn Diagrams</t>
  </si>
  <si>
    <t>Permutations</t>
  </si>
  <si>
    <t>Casework Counting</t>
  </si>
  <si>
    <t>Angle Measurement Basics</t>
  </si>
  <si>
    <t>Angles, Parallel Lines, and Triangles</t>
  </si>
  <si>
    <t>Isosceles and Equilateral Triangles</t>
  </si>
  <si>
    <t>Length and Perimeter</t>
  </si>
  <si>
    <t>Area Basics</t>
  </si>
  <si>
    <t>Similar Triangles</t>
  </si>
  <si>
    <t>The Pythagorean Theorem</t>
  </si>
  <si>
    <t>Special Right Triangles</t>
  </si>
  <si>
    <t>Bisectors in a Triangle</t>
  </si>
  <si>
    <t>Triangle Medians and Altitudes</t>
  </si>
  <si>
    <t>Quadrilaterals Level 1</t>
  </si>
  <si>
    <t>Quadrilaterals Level 2</t>
  </si>
  <si>
    <t>Polygon Angles</t>
  </si>
  <si>
    <t>Polygon Length and Area</t>
  </si>
  <si>
    <t>Inequalities in Triangles</t>
  </si>
  <si>
    <t>Circle Area and Circumference</t>
  </si>
  <si>
    <t>Funky Circle Areas</t>
  </si>
  <si>
    <t>Angles in Circles</t>
  </si>
  <si>
    <t>Lengths in Circles</t>
  </si>
  <si>
    <t>Prisms</t>
  </si>
  <si>
    <t>Pyramids</t>
  </si>
  <si>
    <t>Cylinders</t>
  </si>
  <si>
    <t>Cones</t>
  </si>
  <si>
    <t>Spheres</t>
  </si>
  <si>
    <t>Transformations</t>
  </si>
  <si>
    <t>Analytic Geometry Level 1</t>
  </si>
  <si>
    <t>Analytic Geometry Level 2</t>
  </si>
  <si>
    <t>Right-Triangle Trigonometry</t>
  </si>
  <si>
    <t>Unit Circle Trigonometry</t>
  </si>
  <si>
    <t>&gt;20</t>
  </si>
  <si>
    <t>&gt;25</t>
  </si>
  <si>
    <t>&gt;80</t>
  </si>
  <si>
    <t>&gt;85</t>
  </si>
  <si>
    <t>&gt;30</t>
  </si>
  <si>
    <t>&gt;90</t>
  </si>
  <si>
    <t>new</t>
  </si>
  <si>
    <t>new-err</t>
  </si>
  <si>
    <t>todo</t>
  </si>
  <si>
    <t>N/A</t>
  </si>
  <si>
    <t>Arithmetic - Addition</t>
  </si>
  <si>
    <t>Arithmetic - Multiplication</t>
  </si>
  <si>
    <t>Arithmetic - Negatives</t>
  </si>
  <si>
    <t>Arithmetic - Subtraction</t>
  </si>
  <si>
    <t>Arithmetic - Reciprocals</t>
  </si>
  <si>
    <t>Arithmetic - Division</t>
  </si>
  <si>
    <t>Squares</t>
  </si>
  <si>
    <t>General Positive Exponents</t>
  </si>
  <si>
    <t>Order of Operations</t>
  </si>
  <si>
    <t>Negative and Zero Exponents</t>
  </si>
  <si>
    <t>Divisibility</t>
  </si>
  <si>
    <t>Fraction Multiplication</t>
  </si>
  <si>
    <t>Fraction Division</t>
  </si>
  <si>
    <t>Fractions and Exponents</t>
  </si>
  <si>
    <t>Simplifying Fractions</t>
  </si>
  <si>
    <t>Fraction Addition and Subtraction</t>
  </si>
  <si>
    <t>Mixed Numbers</t>
  </si>
  <si>
    <t>Expressions</t>
  </si>
  <si>
    <t>Basic Linear Equations</t>
  </si>
  <si>
    <t>Advanced Linear Equations</t>
  </si>
  <si>
    <t>Word Problems</t>
  </si>
  <si>
    <t>Inequalities</t>
  </si>
  <si>
    <t>Decimal Arithmetic</t>
  </si>
  <si>
    <t>Rounding Decimals</t>
  </si>
  <si>
    <t>Decimals and Fractions</t>
  </si>
  <si>
    <t>Ratio Basics</t>
  </si>
  <si>
    <t>Proportions</t>
  </si>
  <si>
    <t>Speed and Other Rates</t>
  </si>
  <si>
    <t>Simple Percents</t>
  </si>
  <si>
    <t>Combining Percents</t>
  </si>
  <si>
    <t>Integer Square Roots</t>
  </si>
  <si>
    <t>Non-integer Square Roots</t>
  </si>
  <si>
    <t>Angle Basics</t>
  </si>
  <si>
    <t>Parallel Lines and Triangles</t>
  </si>
  <si>
    <t>Angles in a Polygon</t>
  </si>
  <si>
    <t>Area</t>
  </si>
  <si>
    <t>Quadrilaterals</t>
  </si>
  <si>
    <t>Basic Statistics</t>
  </si>
  <si>
    <t>Statistics - Reading Tables or Charts</t>
  </si>
  <si>
    <t>Counting Lists</t>
  </si>
  <si>
    <t>The Multiplication Principle in Counting</t>
  </si>
  <si>
    <t>Counting Pairs</t>
  </si>
  <si>
    <t>Basic Probability</t>
  </si>
  <si>
    <t>Topics</t>
  </si>
  <si>
    <t>Date</t>
  </si>
  <si>
    <t>Leo</t>
  </si>
  <si>
    <t>Jack</t>
  </si>
  <si>
    <t>Leo's Age</t>
  </si>
  <si>
    <t>Jack's Age</t>
  </si>
  <si>
    <t>Highlevel TAsk1</t>
  </si>
  <si>
    <t>detail action 1</t>
  </si>
  <si>
    <t>wk1</t>
  </si>
  <si>
    <t>wk2</t>
  </si>
  <si>
    <t>wk3</t>
  </si>
  <si>
    <t>detail action 2</t>
  </si>
  <si>
    <t>detail action 3</t>
  </si>
  <si>
    <t>detail action 4</t>
  </si>
  <si>
    <t>detail action 5</t>
  </si>
  <si>
    <t>detail action 6</t>
  </si>
  <si>
    <t>detail action 7</t>
  </si>
  <si>
    <t>detail action 8</t>
  </si>
  <si>
    <t>done</t>
  </si>
  <si>
    <t>wk4</t>
  </si>
  <si>
    <t>wk5</t>
  </si>
  <si>
    <t>wk6</t>
  </si>
  <si>
    <t>wk7</t>
  </si>
  <si>
    <t>wk8</t>
  </si>
  <si>
    <t>wk9</t>
  </si>
  <si>
    <t>wk10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</si>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</sst>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sz val="10"/>
      <color rgb="FFFF0000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0" xfId="0" applyFill="1"/>
    <xf numFmtId="0" fontId="19" fillId="0" borderId="0" xfId="0" applyFont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164" fontId="0" fillId="0" borderId="0" xfId="0" applyNumberFormat="1"/>
    <xf numFmtId="15" fontId="0" fillId="0" borderId="0" xfId="0" applyNumberFormat="1"/>
    <xf numFmtId="0" fontId="20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Heights!$B$1</c:f>
              <c:strCache>
                <c:ptCount val="1"/>
                <c:pt idx="0">
                  <c:v>Leo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Heights!$A$4:$A$35</c:f>
              <c:numCache>
                <c:formatCode>[$-C09]dd\-mmm\-yy;@</c:formatCode>
                <c:ptCount val="32"/>
                <c:pt idx="0">
                  <c:v>43539</c:v>
                </c:pt>
                <c:pt idx="1">
                  <c:v>43661</c:v>
                </c:pt>
                <c:pt idx="2">
                  <c:v>43788</c:v>
                </c:pt>
                <c:pt idx="3">
                  <c:v>43876</c:v>
                </c:pt>
                <c:pt idx="4">
                  <c:v>43981</c:v>
                </c:pt>
                <c:pt idx="5">
                  <c:v>44072</c:v>
                </c:pt>
                <c:pt idx="6">
                  <c:v>44157</c:v>
                </c:pt>
                <c:pt idx="7">
                  <c:v>44269</c:v>
                </c:pt>
                <c:pt idx="8">
                  <c:v>44392</c:v>
                </c:pt>
                <c:pt idx="9">
                  <c:v>44516</c:v>
                </c:pt>
                <c:pt idx="10">
                  <c:v>44554</c:v>
                </c:pt>
                <c:pt idx="11">
                  <c:v>44597</c:v>
                </c:pt>
                <c:pt idx="12">
                  <c:v>44738</c:v>
                </c:pt>
                <c:pt idx="13">
                  <c:v>44814</c:v>
                </c:pt>
                <c:pt idx="14">
                  <c:v>44863</c:v>
                </c:pt>
                <c:pt idx="15">
                  <c:v>44933</c:v>
                </c:pt>
                <c:pt idx="16">
                  <c:v>44947</c:v>
                </c:pt>
                <c:pt idx="17">
                  <c:v>44969</c:v>
                </c:pt>
                <c:pt idx="18">
                  <c:v>45038</c:v>
                </c:pt>
                <c:pt idx="19">
                  <c:v>45089</c:v>
                </c:pt>
                <c:pt idx="20">
                  <c:v>45123</c:v>
                </c:pt>
                <c:pt idx="21">
                  <c:v>45150</c:v>
                </c:pt>
                <c:pt idx="22">
                  <c:v>45216</c:v>
                </c:pt>
                <c:pt idx="23">
                  <c:v>45269</c:v>
                </c:pt>
                <c:pt idx="24">
                  <c:v>45292</c:v>
                </c:pt>
                <c:pt idx="25">
                  <c:v>45339</c:v>
                </c:pt>
                <c:pt idx="26">
                  <c:v>45402</c:v>
                </c:pt>
                <c:pt idx="27">
                  <c:v>45451</c:v>
                </c:pt>
                <c:pt idx="28">
                  <c:v>45570</c:v>
                </c:pt>
                <c:pt idx="29">
                  <c:v>45590</c:v>
                </c:pt>
                <c:pt idx="30">
                  <c:v>45624</c:v>
                </c:pt>
                <c:pt idx="31">
                  <c:v>45690</c:v>
                </c:pt>
              </c:numCache>
            </c:numRef>
          </c:cat>
          <c:val>
            <c:numRef>
              <c:f>Heights!$B$4:$B$35</c:f>
              <c:numCache>
                <c:formatCode>General</c:formatCode>
                <c:ptCount val="32"/>
                <c:pt idx="0">
                  <c:v>129</c:v>
                </c:pt>
                <c:pt idx="1">
                  <c:v>131</c:v>
                </c:pt>
                <c:pt idx="2">
                  <c:v>133</c:v>
                </c:pt>
                <c:pt idx="3">
                  <c:v>135</c:v>
                </c:pt>
                <c:pt idx="4">
                  <c:v>136</c:v>
                </c:pt>
                <c:pt idx="5">
                  <c:v>136.5</c:v>
                </c:pt>
                <c:pt idx="6">
                  <c:v>137.5</c:v>
                </c:pt>
                <c:pt idx="7">
                  <c:v>138</c:v>
                </c:pt>
                <c:pt idx="8">
                  <c:v>139.5</c:v>
                </c:pt>
                <c:pt idx="9">
                  <c:v>143</c:v>
                </c:pt>
                <c:pt idx="10">
                  <c:v>144</c:v>
                </c:pt>
                <c:pt idx="11">
                  <c:v>146</c:v>
                </c:pt>
                <c:pt idx="12">
                  <c:v>150.5</c:v>
                </c:pt>
                <c:pt idx="13">
                  <c:v>151</c:v>
                </c:pt>
                <c:pt idx="14">
                  <c:v>153</c:v>
                </c:pt>
                <c:pt idx="15">
                  <c:v>154</c:v>
                </c:pt>
                <c:pt idx="16">
                  <c:v>155</c:v>
                </c:pt>
                <c:pt idx="17">
                  <c:v>156</c:v>
                </c:pt>
                <c:pt idx="18">
                  <c:v>157.5</c:v>
                </c:pt>
                <c:pt idx="19">
                  <c:v>159</c:v>
                </c:pt>
                <c:pt idx="20">
                  <c:v>160.5</c:v>
                </c:pt>
                <c:pt idx="21">
                  <c:v>162</c:v>
                </c:pt>
                <c:pt idx="22">
                  <c:v>163</c:v>
                </c:pt>
                <c:pt idx="23">
                  <c:v>164.5</c:v>
                </c:pt>
                <c:pt idx="24">
                  <c:v>165</c:v>
                </c:pt>
                <c:pt idx="25">
                  <c:v>166</c:v>
                </c:pt>
                <c:pt idx="26">
                  <c:v>167</c:v>
                </c:pt>
                <c:pt idx="27">
                  <c:v>168.5</c:v>
                </c:pt>
                <c:pt idx="28">
                  <c:v>170</c:v>
                </c:pt>
                <c:pt idx="29">
                  <c:v>170.5</c:v>
                </c:pt>
                <c:pt idx="30">
                  <c:v>171</c:v>
                </c:pt>
                <c:pt idx="31">
                  <c:v>171.5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8-4B34-B1F4-B0B1A0CB3ADA}"/>
            </c:ext>
          </c:extLst>
        </c:ser>
        <c:ser>
          <c:idx val="1"/>
          <c:order val="1"/>
          <c:tx>
            <c:strRef>
              <c:f>Heights!$C$1</c:f>
              <c:strCache>
                <c:ptCount val="1"/>
                <c:pt idx="0">
                  <c:v>Jack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Heights!$A$4:$A$35</c:f>
              <c:numCache>
                <c:formatCode>[$-C09]dd\-mmm\-yy;@</c:formatCode>
                <c:ptCount val="32"/>
                <c:pt idx="0">
                  <c:v>43539</c:v>
                </c:pt>
                <c:pt idx="1">
                  <c:v>43661</c:v>
                </c:pt>
                <c:pt idx="2">
                  <c:v>43788</c:v>
                </c:pt>
                <c:pt idx="3">
                  <c:v>43876</c:v>
                </c:pt>
                <c:pt idx="4">
                  <c:v>43981</c:v>
                </c:pt>
                <c:pt idx="5">
                  <c:v>44072</c:v>
                </c:pt>
                <c:pt idx="6">
                  <c:v>44157</c:v>
                </c:pt>
                <c:pt idx="7">
                  <c:v>44269</c:v>
                </c:pt>
                <c:pt idx="8">
                  <c:v>44392</c:v>
                </c:pt>
                <c:pt idx="9">
                  <c:v>44516</c:v>
                </c:pt>
                <c:pt idx="10">
                  <c:v>44554</c:v>
                </c:pt>
                <c:pt idx="11">
                  <c:v>44597</c:v>
                </c:pt>
                <c:pt idx="12">
                  <c:v>44738</c:v>
                </c:pt>
                <c:pt idx="13">
                  <c:v>44814</c:v>
                </c:pt>
                <c:pt idx="14">
                  <c:v>44863</c:v>
                </c:pt>
                <c:pt idx="15">
                  <c:v>44933</c:v>
                </c:pt>
                <c:pt idx="16">
                  <c:v>44947</c:v>
                </c:pt>
                <c:pt idx="17">
                  <c:v>44969</c:v>
                </c:pt>
                <c:pt idx="18">
                  <c:v>45038</c:v>
                </c:pt>
                <c:pt idx="19">
                  <c:v>45089</c:v>
                </c:pt>
                <c:pt idx="20">
                  <c:v>45123</c:v>
                </c:pt>
                <c:pt idx="21">
                  <c:v>45150</c:v>
                </c:pt>
                <c:pt idx="22">
                  <c:v>45216</c:v>
                </c:pt>
                <c:pt idx="23">
                  <c:v>45269</c:v>
                </c:pt>
                <c:pt idx="24">
                  <c:v>45292</c:v>
                </c:pt>
                <c:pt idx="25">
                  <c:v>45339</c:v>
                </c:pt>
                <c:pt idx="26">
                  <c:v>45402</c:v>
                </c:pt>
                <c:pt idx="27">
                  <c:v>45451</c:v>
                </c:pt>
                <c:pt idx="28">
                  <c:v>45570</c:v>
                </c:pt>
                <c:pt idx="29">
                  <c:v>45590</c:v>
                </c:pt>
                <c:pt idx="30">
                  <c:v>45624</c:v>
                </c:pt>
                <c:pt idx="31">
                  <c:v>45690</c:v>
                </c:pt>
              </c:numCache>
            </c:numRef>
          </c:cat>
          <c:val>
            <c:numRef>
              <c:f>Heights!$C$4:$C$35</c:f>
              <c:numCache>
                <c:formatCode>General</c:formatCode>
                <c:ptCount val="32"/>
                <c:pt idx="0">
                  <c:v>112</c:v>
                </c:pt>
                <c:pt idx="1">
                  <c:v>114</c:v>
                </c:pt>
                <c:pt idx="2">
                  <c:v>117</c:v>
                </c:pt>
                <c:pt idx="3">
                  <c:v>118.5</c:v>
                </c:pt>
                <c:pt idx="4">
                  <c:v>121.5</c:v>
                </c:pt>
                <c:pt idx="5">
                  <c:v>122.5</c:v>
                </c:pt>
                <c:pt idx="6">
                  <c:v>124</c:v>
                </c:pt>
                <c:pt idx="7">
                  <c:v>125.5</c:v>
                </c:pt>
                <c:pt idx="8">
                  <c:v>127</c:v>
                </c:pt>
                <c:pt idx="9">
                  <c:v>129.5</c:v>
                </c:pt>
                <c:pt idx="10">
                  <c:v>131</c:v>
                </c:pt>
                <c:pt idx="11">
                  <c:v>133</c:v>
                </c:pt>
                <c:pt idx="12">
                  <c:v>135</c:v>
                </c:pt>
                <c:pt idx="13">
                  <c:v>135.5</c:v>
                </c:pt>
                <c:pt idx="14">
                  <c:v>137</c:v>
                </c:pt>
                <c:pt idx="15">
                  <c:v>137.5</c:v>
                </c:pt>
                <c:pt idx="16">
                  <c:v>138.5</c:v>
                </c:pt>
                <c:pt idx="17">
                  <c:v>139</c:v>
                </c:pt>
                <c:pt idx="18">
                  <c:v>139.5</c:v>
                </c:pt>
                <c:pt idx="19">
                  <c:v>141.5</c:v>
                </c:pt>
                <c:pt idx="20">
                  <c:v>142.5</c:v>
                </c:pt>
                <c:pt idx="21">
                  <c:v>143</c:v>
                </c:pt>
                <c:pt idx="22">
                  <c:v>144</c:v>
                </c:pt>
                <c:pt idx="23">
                  <c:v>146</c:v>
                </c:pt>
                <c:pt idx="24">
                  <c:v>147.5</c:v>
                </c:pt>
                <c:pt idx="25">
                  <c:v>149</c:v>
                </c:pt>
                <c:pt idx="26">
                  <c:v>151</c:v>
                </c:pt>
                <c:pt idx="27">
                  <c:v>152.5</c:v>
                </c:pt>
                <c:pt idx="28">
                  <c:v>155</c:v>
                </c:pt>
                <c:pt idx="29">
                  <c:v>156.5</c:v>
                </c:pt>
                <c:pt idx="30">
                  <c:v>158</c:v>
                </c:pt>
                <c:pt idx="31">
                  <c:v>159.5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8-4B34-B1F4-B0B1A0CB3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880959"/>
        <c:axId val="2031879519"/>
      </c:lineChart>
      <c:dateAx>
        <c:axId val="2031880959"/>
        <c:scaling>
          <c:orientation val="minMax"/>
        </c:scaling>
        <c:delete val="0"/>
        <c:axPos val="b"/>
        <c:numFmt formatCode="[$-C09]d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879519"/>
        <c:crosses val="autoZero"/>
        <c:auto val="1"/>
        <c:lblOffset val="100"/>
        <c:baseTimeUnit val="days"/>
      </c:dateAx>
      <c:valAx>
        <c:axId val="20318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88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222003</xdr:colOff>
      <xdr:row>2</xdr:row>
      <xdr:rowOff>167543</xdr:rowOff>
    </xdr:from>
    <xdr:to>
      <xdr:col>17</xdr:col>
      <xdr:colOff>275002</xdr:colOff>
      <xdr:row>31</xdr:row>
      <xdr:rowOff>39078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7B17D-0A81-E737-6006-0E970D883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7"/>
  <sheetViews>
    <sheetView zoomScale="130" zoomScaleNormal="130" workbookViewId="0">
      <pane ySplit="1" topLeftCell="A2" activePane="bottomLeft" state="frozen"/>
      <selection pane="bottomLeft" activeCell="I20" sqref="I20"/>
    </sheetView>
  </sheetViews>
  <sheetFormatPr defaultRowHeight="15" x14ac:dyDescent="0.25"/>
  <cols>
    <col min="1" max="1" width="42.42578125" customWidth="1"/>
    <col min="2" max="2" width="11.42578125" bestFit="1" customWidth="1"/>
    <col min="3" max="3" width="9.85546875" bestFit="1" customWidth="1"/>
    <col min="4" max="4" width="10.85546875" bestFit="1" customWidth="1"/>
    <col min="5" max="5" width="11.42578125" bestFit="1" customWidth="1"/>
    <col min="6" max="6" width="9.85546875" bestFit="1" customWidth="1"/>
    <col min="7" max="7" width="10.85546875" bestFit="1" customWidth="1"/>
    <col min="8" max="8" width="9.7109375" customWidth="1"/>
    <col min="9" max="9" width="10" customWidth="1"/>
    <col min="10" max="10" width="1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59</v>
      </c>
      <c r="E1" t="s">
        <v>1</v>
      </c>
      <c r="F1" t="s">
        <v>2</v>
      </c>
      <c r="G1" t="s">
        <v>59</v>
      </c>
      <c r="H1" t="s">
        <v>154</v>
      </c>
      <c r="I1" t="s">
        <v>156</v>
      </c>
      <c r="J1" t="s">
        <v>155</v>
      </c>
    </row>
    <row r="2" spans="1:10" x14ac:dyDescent="0.25">
      <c r="A2" t="s">
        <v>60</v>
      </c>
      <c r="B2">
        <v>27</v>
      </c>
      <c r="C2">
        <v>96.3</v>
      </c>
      <c r="D2">
        <v>1</v>
      </c>
      <c r="E2">
        <v>27</v>
      </c>
      <c r="F2">
        <v>96.3</v>
      </c>
      <c r="G2">
        <v>1</v>
      </c>
      <c r="H2">
        <f t="shared" ref="H2:J2" si="0">E2-B2</f>
        <v>0</v>
      </c>
      <c r="J2">
        <f t="shared" si="0"/>
        <v>0</v>
      </c>
    </row>
    <row r="3" spans="1:10" x14ac:dyDescent="0.25">
      <c r="A3" t="s">
        <v>61</v>
      </c>
      <c r="B3">
        <v>63</v>
      </c>
      <c r="C3">
        <v>87.3</v>
      </c>
      <c r="D3">
        <v>8</v>
      </c>
      <c r="E3">
        <v>63</v>
      </c>
      <c r="F3">
        <v>87.3</v>
      </c>
      <c r="G3">
        <v>8</v>
      </c>
      <c r="H3">
        <f t="shared" ref="H3:H62" si="1">E3-B3</f>
        <v>0</v>
      </c>
      <c r="J3">
        <f t="shared" ref="J3:J62" si="2">G3-D3</f>
        <v>0</v>
      </c>
    </row>
    <row r="4" spans="1:10" x14ac:dyDescent="0.25">
      <c r="A4" t="s">
        <v>62</v>
      </c>
      <c r="B4">
        <v>120</v>
      </c>
      <c r="C4">
        <v>90.8</v>
      </c>
      <c r="D4">
        <v>11</v>
      </c>
      <c r="E4">
        <v>120</v>
      </c>
      <c r="F4">
        <v>90.8</v>
      </c>
      <c r="G4">
        <v>11</v>
      </c>
      <c r="H4">
        <f t="shared" si="1"/>
        <v>0</v>
      </c>
      <c r="J4">
        <f t="shared" si="2"/>
        <v>0</v>
      </c>
    </row>
    <row r="5" spans="1:10" x14ac:dyDescent="0.25">
      <c r="A5" t="s">
        <v>63</v>
      </c>
      <c r="B5">
        <v>32</v>
      </c>
      <c r="C5">
        <v>87.5</v>
      </c>
      <c r="D5">
        <v>4</v>
      </c>
      <c r="E5">
        <v>32</v>
      </c>
      <c r="F5">
        <v>87.5</v>
      </c>
      <c r="G5">
        <v>4</v>
      </c>
      <c r="H5">
        <f t="shared" si="1"/>
        <v>0</v>
      </c>
      <c r="J5">
        <f t="shared" si="2"/>
        <v>0</v>
      </c>
    </row>
    <row r="6" spans="1:10" x14ac:dyDescent="0.25">
      <c r="A6" t="s">
        <v>64</v>
      </c>
      <c r="B6">
        <v>29</v>
      </c>
      <c r="C6">
        <v>100</v>
      </c>
      <c r="D6">
        <v>0</v>
      </c>
      <c r="E6">
        <v>29</v>
      </c>
      <c r="F6">
        <v>100</v>
      </c>
      <c r="G6">
        <v>0</v>
      </c>
      <c r="H6">
        <f t="shared" si="1"/>
        <v>0</v>
      </c>
      <c r="I6">
        <f>MAX(0, MAX(G6*6-E6, 30-E6))</f>
        <v>1</v>
      </c>
      <c r="J6">
        <f t="shared" si="2"/>
        <v>0</v>
      </c>
    </row>
    <row r="7" spans="1:10" x14ac:dyDescent="0.25">
      <c r="A7" t="s">
        <v>65</v>
      </c>
      <c r="B7">
        <v>82</v>
      </c>
      <c r="C7">
        <v>85.4</v>
      </c>
      <c r="D7">
        <v>12</v>
      </c>
      <c r="E7">
        <v>82</v>
      </c>
      <c r="F7">
        <v>85.4</v>
      </c>
      <c r="G7">
        <v>12</v>
      </c>
      <c r="H7">
        <f t="shared" si="1"/>
        <v>0</v>
      </c>
      <c r="I7">
        <f t="shared" ref="I7:I62" si="3">MAX(0, MAX(G7*6-E7, 30-E7))</f>
        <v>0</v>
      </c>
      <c r="J7">
        <f t="shared" si="2"/>
        <v>0</v>
      </c>
    </row>
    <row r="8" spans="1:10" x14ac:dyDescent="0.25">
      <c r="A8" t="s">
        <v>66</v>
      </c>
      <c r="B8">
        <v>43</v>
      </c>
      <c r="C8">
        <v>83.7</v>
      </c>
      <c r="D8">
        <v>7</v>
      </c>
      <c r="E8">
        <v>43</v>
      </c>
      <c r="F8">
        <v>83.7</v>
      </c>
      <c r="G8">
        <v>7</v>
      </c>
      <c r="H8">
        <f t="shared" si="1"/>
        <v>0</v>
      </c>
      <c r="I8">
        <f t="shared" si="3"/>
        <v>0</v>
      </c>
      <c r="J8">
        <f t="shared" si="2"/>
        <v>0</v>
      </c>
    </row>
    <row r="9" spans="1:10" x14ac:dyDescent="0.25">
      <c r="A9" t="s">
        <v>67</v>
      </c>
      <c r="B9">
        <v>157</v>
      </c>
      <c r="C9">
        <v>89.2</v>
      </c>
      <c r="D9">
        <v>16</v>
      </c>
      <c r="E9">
        <v>157</v>
      </c>
      <c r="F9">
        <v>89.2</v>
      </c>
      <c r="G9">
        <v>16</v>
      </c>
      <c r="H9">
        <f t="shared" si="1"/>
        <v>0</v>
      </c>
      <c r="I9">
        <f t="shared" si="3"/>
        <v>0</v>
      </c>
      <c r="J9">
        <f t="shared" si="2"/>
        <v>0</v>
      </c>
    </row>
    <row r="10" spans="1:10" x14ac:dyDescent="0.25">
      <c r="A10" t="s">
        <v>68</v>
      </c>
      <c r="B10">
        <v>74</v>
      </c>
      <c r="C10">
        <v>91.9</v>
      </c>
      <c r="D10">
        <v>6</v>
      </c>
      <c r="E10">
        <v>74</v>
      </c>
      <c r="F10">
        <v>91.9</v>
      </c>
      <c r="G10">
        <v>6</v>
      </c>
      <c r="H10">
        <f t="shared" si="1"/>
        <v>0</v>
      </c>
      <c r="I10">
        <f t="shared" si="3"/>
        <v>0</v>
      </c>
      <c r="J10">
        <f t="shared" si="2"/>
        <v>0</v>
      </c>
    </row>
    <row r="11" spans="1:10" x14ac:dyDescent="0.25">
      <c r="A11" t="s">
        <v>69</v>
      </c>
      <c r="B11">
        <v>37</v>
      </c>
      <c r="C11">
        <v>91.9</v>
      </c>
      <c r="D11">
        <v>3</v>
      </c>
      <c r="E11">
        <v>37</v>
      </c>
      <c r="F11">
        <v>91.9</v>
      </c>
      <c r="G11">
        <v>3</v>
      </c>
      <c r="H11">
        <f t="shared" si="1"/>
        <v>0</v>
      </c>
      <c r="I11">
        <f t="shared" si="3"/>
        <v>0</v>
      </c>
      <c r="J11">
        <f t="shared" si="2"/>
        <v>0</v>
      </c>
    </row>
    <row r="12" spans="1:10" x14ac:dyDescent="0.25">
      <c r="A12" t="s">
        <v>70</v>
      </c>
      <c r="B12">
        <v>36</v>
      </c>
      <c r="C12">
        <v>88.9</v>
      </c>
      <c r="D12">
        <v>4</v>
      </c>
      <c r="E12">
        <v>36</v>
      </c>
      <c r="F12">
        <v>88.9</v>
      </c>
      <c r="G12">
        <v>4</v>
      </c>
      <c r="H12">
        <f t="shared" si="1"/>
        <v>0</v>
      </c>
      <c r="I12">
        <f t="shared" si="3"/>
        <v>0</v>
      </c>
      <c r="J12">
        <f t="shared" si="2"/>
        <v>0</v>
      </c>
    </row>
    <row r="13" spans="1:10" x14ac:dyDescent="0.25">
      <c r="A13" t="s">
        <v>71</v>
      </c>
      <c r="B13">
        <v>76</v>
      </c>
      <c r="C13">
        <v>85.5</v>
      </c>
      <c r="D13">
        <v>10</v>
      </c>
      <c r="E13">
        <v>76</v>
      </c>
      <c r="F13">
        <v>85.5</v>
      </c>
      <c r="G13">
        <v>10</v>
      </c>
      <c r="H13">
        <f t="shared" si="1"/>
        <v>0</v>
      </c>
      <c r="I13">
        <f t="shared" si="3"/>
        <v>0</v>
      </c>
      <c r="J13">
        <f t="shared" si="2"/>
        <v>0</v>
      </c>
    </row>
    <row r="14" spans="1:10" x14ac:dyDescent="0.25">
      <c r="A14" t="s">
        <v>72</v>
      </c>
      <c r="B14">
        <v>0</v>
      </c>
      <c r="C14">
        <v>0</v>
      </c>
      <c r="D14">
        <v>0</v>
      </c>
      <c r="E14">
        <v>0</v>
      </c>
      <c r="F14" t="s">
        <v>157</v>
      </c>
      <c r="G14">
        <v>0</v>
      </c>
      <c r="H14">
        <f t="shared" si="1"/>
        <v>0</v>
      </c>
      <c r="I14">
        <f t="shared" si="3"/>
        <v>30</v>
      </c>
      <c r="J14">
        <f t="shared" si="2"/>
        <v>0</v>
      </c>
    </row>
    <row r="15" spans="1:10" x14ac:dyDescent="0.25">
      <c r="A15" t="s">
        <v>73</v>
      </c>
      <c r="B15">
        <v>51</v>
      </c>
      <c r="C15">
        <v>92.2</v>
      </c>
      <c r="D15">
        <v>4</v>
      </c>
      <c r="E15">
        <v>51</v>
      </c>
      <c r="F15">
        <v>92.2</v>
      </c>
      <c r="G15">
        <v>4</v>
      </c>
      <c r="H15">
        <f t="shared" si="1"/>
        <v>0</v>
      </c>
      <c r="I15">
        <f t="shared" si="3"/>
        <v>0</v>
      </c>
      <c r="J15">
        <f t="shared" si="2"/>
        <v>0</v>
      </c>
    </row>
    <row r="16" spans="1:10" x14ac:dyDescent="0.25">
      <c r="A16" t="s">
        <v>74</v>
      </c>
      <c r="B16">
        <v>73</v>
      </c>
      <c r="C16">
        <v>87.7</v>
      </c>
      <c r="D16">
        <v>9</v>
      </c>
      <c r="E16">
        <v>73</v>
      </c>
      <c r="F16">
        <v>87.7</v>
      </c>
      <c r="G16">
        <v>9</v>
      </c>
      <c r="H16">
        <f t="shared" si="1"/>
        <v>0</v>
      </c>
      <c r="I16">
        <f t="shared" si="3"/>
        <v>0</v>
      </c>
      <c r="J16">
        <f t="shared" si="2"/>
        <v>0</v>
      </c>
    </row>
    <row r="17" spans="1:10" x14ac:dyDescent="0.25">
      <c r="A17" t="s">
        <v>75</v>
      </c>
      <c r="B17">
        <v>221</v>
      </c>
      <c r="C17">
        <v>84.2</v>
      </c>
      <c r="D17">
        <v>35</v>
      </c>
      <c r="E17">
        <v>221</v>
      </c>
      <c r="F17">
        <v>84.2</v>
      </c>
      <c r="G17">
        <v>35</v>
      </c>
      <c r="H17">
        <f t="shared" si="1"/>
        <v>0</v>
      </c>
      <c r="I17">
        <f t="shared" si="3"/>
        <v>0</v>
      </c>
      <c r="J17">
        <f t="shared" si="2"/>
        <v>0</v>
      </c>
    </row>
    <row r="18" spans="1:10" x14ac:dyDescent="0.25">
      <c r="A18" t="s">
        <v>76</v>
      </c>
      <c r="B18">
        <v>47</v>
      </c>
      <c r="C18">
        <v>97.9</v>
      </c>
      <c r="D18">
        <v>1</v>
      </c>
      <c r="E18">
        <v>47</v>
      </c>
      <c r="F18">
        <v>97.9</v>
      </c>
      <c r="G18">
        <v>1</v>
      </c>
      <c r="H18">
        <f t="shared" si="1"/>
        <v>0</v>
      </c>
      <c r="I18">
        <f t="shared" si="3"/>
        <v>0</v>
      </c>
      <c r="J18">
        <f t="shared" si="2"/>
        <v>0</v>
      </c>
    </row>
    <row r="19" spans="1:10" x14ac:dyDescent="0.25">
      <c r="A19" t="s">
        <v>77</v>
      </c>
      <c r="B19">
        <v>136</v>
      </c>
      <c r="C19">
        <v>83.1</v>
      </c>
      <c r="D19">
        <v>22</v>
      </c>
      <c r="E19">
        <v>136</v>
      </c>
      <c r="F19">
        <v>83.1</v>
      </c>
      <c r="G19">
        <v>22</v>
      </c>
      <c r="H19">
        <f t="shared" si="1"/>
        <v>0</v>
      </c>
      <c r="I19">
        <f t="shared" si="3"/>
        <v>0</v>
      </c>
      <c r="J19">
        <f t="shared" si="2"/>
        <v>0</v>
      </c>
    </row>
    <row r="20" spans="1:10" x14ac:dyDescent="0.25">
      <c r="A20" t="s">
        <v>78</v>
      </c>
      <c r="B20">
        <v>374</v>
      </c>
      <c r="C20">
        <v>76.2</v>
      </c>
      <c r="D20">
        <v>77</v>
      </c>
      <c r="E20">
        <v>374</v>
      </c>
      <c r="F20">
        <v>76.2</v>
      </c>
      <c r="G20">
        <v>77</v>
      </c>
      <c r="H20">
        <f t="shared" si="1"/>
        <v>0</v>
      </c>
      <c r="I20">
        <f t="shared" si="3"/>
        <v>88</v>
      </c>
      <c r="J20">
        <f t="shared" si="2"/>
        <v>0</v>
      </c>
    </row>
    <row r="21" spans="1:10" x14ac:dyDescent="0.25">
      <c r="A21" t="s">
        <v>79</v>
      </c>
      <c r="B21">
        <v>102</v>
      </c>
      <c r="C21">
        <v>85.3</v>
      </c>
      <c r="D21">
        <v>10</v>
      </c>
      <c r="E21">
        <v>102</v>
      </c>
      <c r="F21">
        <v>85.3</v>
      </c>
      <c r="G21">
        <v>10</v>
      </c>
      <c r="H21">
        <f t="shared" si="1"/>
        <v>0</v>
      </c>
      <c r="I21">
        <f t="shared" si="3"/>
        <v>0</v>
      </c>
      <c r="J21">
        <f t="shared" si="2"/>
        <v>0</v>
      </c>
    </row>
    <row r="22" spans="1:10" x14ac:dyDescent="0.25">
      <c r="A22" t="s">
        <v>80</v>
      </c>
      <c r="B22">
        <v>46</v>
      </c>
      <c r="C22">
        <v>87</v>
      </c>
      <c r="D22">
        <v>5</v>
      </c>
      <c r="E22">
        <v>46</v>
      </c>
      <c r="F22">
        <v>87</v>
      </c>
      <c r="G22">
        <v>5</v>
      </c>
      <c r="H22">
        <f t="shared" si="1"/>
        <v>0</v>
      </c>
      <c r="I22">
        <f t="shared" si="3"/>
        <v>0</v>
      </c>
      <c r="J22">
        <f t="shared" si="2"/>
        <v>0</v>
      </c>
    </row>
    <row r="23" spans="1:10" x14ac:dyDescent="0.25">
      <c r="A23" t="s">
        <v>81</v>
      </c>
      <c r="B23">
        <v>47</v>
      </c>
      <c r="C23">
        <v>85.1</v>
      </c>
      <c r="D23">
        <v>6</v>
      </c>
      <c r="E23">
        <v>47</v>
      </c>
      <c r="F23">
        <v>85.1</v>
      </c>
      <c r="G23">
        <v>6</v>
      </c>
      <c r="H23">
        <f t="shared" si="1"/>
        <v>0</v>
      </c>
      <c r="I23">
        <f t="shared" si="3"/>
        <v>0</v>
      </c>
      <c r="J23">
        <f t="shared" si="2"/>
        <v>0</v>
      </c>
    </row>
    <row r="24" spans="1:10" x14ac:dyDescent="0.25">
      <c r="A24" t="s">
        <v>82</v>
      </c>
      <c r="B24">
        <v>93</v>
      </c>
      <c r="C24">
        <v>86</v>
      </c>
      <c r="D24">
        <v>9</v>
      </c>
      <c r="E24">
        <v>93</v>
      </c>
      <c r="F24">
        <v>86</v>
      </c>
      <c r="G24">
        <v>9</v>
      </c>
      <c r="H24">
        <f t="shared" si="1"/>
        <v>0</v>
      </c>
      <c r="I24">
        <f t="shared" si="3"/>
        <v>0</v>
      </c>
      <c r="J24">
        <f t="shared" si="2"/>
        <v>0</v>
      </c>
    </row>
    <row r="25" spans="1:10" x14ac:dyDescent="0.25">
      <c r="A25" t="s">
        <v>83</v>
      </c>
      <c r="B25">
        <v>63</v>
      </c>
      <c r="C25">
        <v>82.5</v>
      </c>
      <c r="D25">
        <v>8</v>
      </c>
      <c r="E25">
        <v>63</v>
      </c>
      <c r="F25">
        <v>82.5</v>
      </c>
      <c r="G25">
        <v>8</v>
      </c>
      <c r="H25">
        <f t="shared" si="1"/>
        <v>0</v>
      </c>
      <c r="I25">
        <f t="shared" si="3"/>
        <v>0</v>
      </c>
      <c r="J25">
        <f t="shared" si="2"/>
        <v>0</v>
      </c>
    </row>
    <row r="26" spans="1:10" x14ac:dyDescent="0.25">
      <c r="A26" t="s">
        <v>84</v>
      </c>
      <c r="B26">
        <v>45</v>
      </c>
      <c r="C26">
        <v>91.1</v>
      </c>
      <c r="D26">
        <v>4</v>
      </c>
      <c r="E26">
        <v>46</v>
      </c>
      <c r="F26">
        <v>91.3</v>
      </c>
      <c r="G26">
        <v>4</v>
      </c>
      <c r="H26">
        <f t="shared" si="1"/>
        <v>1</v>
      </c>
      <c r="I26">
        <f t="shared" si="3"/>
        <v>0</v>
      </c>
      <c r="J26">
        <f t="shared" si="2"/>
        <v>0</v>
      </c>
    </row>
    <row r="27" spans="1:10" x14ac:dyDescent="0.25">
      <c r="A27" t="s">
        <v>85</v>
      </c>
      <c r="B27">
        <v>64</v>
      </c>
      <c r="C27">
        <v>90.6</v>
      </c>
      <c r="D27">
        <v>4</v>
      </c>
      <c r="E27">
        <v>64</v>
      </c>
      <c r="F27">
        <v>90.6</v>
      </c>
      <c r="G27">
        <v>4</v>
      </c>
      <c r="H27">
        <f t="shared" si="1"/>
        <v>0</v>
      </c>
      <c r="I27">
        <f t="shared" si="3"/>
        <v>0</v>
      </c>
      <c r="J27">
        <f t="shared" si="2"/>
        <v>0</v>
      </c>
    </row>
    <row r="28" spans="1:10" x14ac:dyDescent="0.25">
      <c r="A28" t="s">
        <v>86</v>
      </c>
      <c r="B28">
        <v>92</v>
      </c>
      <c r="C28">
        <v>82.6</v>
      </c>
      <c r="D28">
        <v>12</v>
      </c>
      <c r="E28">
        <v>92</v>
      </c>
      <c r="F28">
        <v>82.6</v>
      </c>
      <c r="G28">
        <v>12</v>
      </c>
      <c r="H28">
        <f t="shared" si="1"/>
        <v>0</v>
      </c>
      <c r="I28">
        <f t="shared" si="3"/>
        <v>0</v>
      </c>
      <c r="J28">
        <f t="shared" si="2"/>
        <v>0</v>
      </c>
    </row>
    <row r="29" spans="1:10" x14ac:dyDescent="0.25">
      <c r="A29" t="s">
        <v>14</v>
      </c>
      <c r="B29">
        <v>146</v>
      </c>
      <c r="C29">
        <v>73.3</v>
      </c>
      <c r="D29">
        <v>27</v>
      </c>
      <c r="E29">
        <v>146</v>
      </c>
      <c r="F29">
        <v>73.3</v>
      </c>
      <c r="G29">
        <v>27</v>
      </c>
      <c r="H29">
        <f t="shared" si="1"/>
        <v>0</v>
      </c>
      <c r="I29">
        <f t="shared" si="3"/>
        <v>16</v>
      </c>
      <c r="J29">
        <f t="shared" si="2"/>
        <v>0</v>
      </c>
    </row>
    <row r="30" spans="1:10" x14ac:dyDescent="0.25">
      <c r="A30" t="s">
        <v>87</v>
      </c>
      <c r="B30">
        <v>29</v>
      </c>
      <c r="C30">
        <v>89.7</v>
      </c>
      <c r="D30">
        <v>2</v>
      </c>
      <c r="E30">
        <v>29</v>
      </c>
      <c r="F30">
        <v>89.7</v>
      </c>
      <c r="G30">
        <v>2</v>
      </c>
      <c r="H30">
        <f t="shared" si="1"/>
        <v>0</v>
      </c>
      <c r="I30">
        <f t="shared" si="3"/>
        <v>1</v>
      </c>
      <c r="J30">
        <f t="shared" si="2"/>
        <v>0</v>
      </c>
    </row>
    <row r="31" spans="1:10" x14ac:dyDescent="0.25">
      <c r="A31" t="s">
        <v>88</v>
      </c>
      <c r="B31">
        <v>55</v>
      </c>
      <c r="C31">
        <v>85.5</v>
      </c>
      <c r="D31">
        <v>7</v>
      </c>
      <c r="E31">
        <v>55</v>
      </c>
      <c r="F31">
        <v>85.5</v>
      </c>
      <c r="G31">
        <v>7</v>
      </c>
      <c r="H31">
        <f t="shared" si="1"/>
        <v>0</v>
      </c>
      <c r="I31">
        <f t="shared" si="3"/>
        <v>0</v>
      </c>
      <c r="J31">
        <f t="shared" si="2"/>
        <v>0</v>
      </c>
    </row>
    <row r="32" spans="1:10" x14ac:dyDescent="0.25">
      <c r="A32" t="s">
        <v>89</v>
      </c>
      <c r="B32">
        <v>3</v>
      </c>
      <c r="C32">
        <v>100</v>
      </c>
      <c r="D32">
        <v>0</v>
      </c>
      <c r="E32">
        <v>38</v>
      </c>
      <c r="F32">
        <v>73.7</v>
      </c>
      <c r="G32">
        <v>10</v>
      </c>
      <c r="H32">
        <f t="shared" si="1"/>
        <v>35</v>
      </c>
      <c r="I32">
        <f t="shared" si="3"/>
        <v>22</v>
      </c>
      <c r="J32">
        <f t="shared" si="2"/>
        <v>10</v>
      </c>
    </row>
    <row r="33" spans="1:10" x14ac:dyDescent="0.25">
      <c r="A33" t="s">
        <v>90</v>
      </c>
      <c r="B33">
        <v>105</v>
      </c>
      <c r="C33">
        <v>75.2</v>
      </c>
      <c r="D33">
        <v>23</v>
      </c>
      <c r="E33">
        <v>107</v>
      </c>
      <c r="F33">
        <v>74.8</v>
      </c>
      <c r="G33">
        <v>24</v>
      </c>
      <c r="H33">
        <f t="shared" si="1"/>
        <v>2</v>
      </c>
      <c r="I33">
        <f t="shared" si="3"/>
        <v>37</v>
      </c>
      <c r="J33">
        <f t="shared" si="2"/>
        <v>1</v>
      </c>
    </row>
    <row r="34" spans="1:10" x14ac:dyDescent="0.25">
      <c r="A34" t="s">
        <v>7</v>
      </c>
      <c r="B34">
        <v>31</v>
      </c>
      <c r="C34">
        <v>93.6</v>
      </c>
      <c r="D34">
        <v>2</v>
      </c>
      <c r="E34">
        <v>31</v>
      </c>
      <c r="F34">
        <v>93.6</v>
      </c>
      <c r="G34">
        <v>2</v>
      </c>
      <c r="H34">
        <f t="shared" si="1"/>
        <v>0</v>
      </c>
      <c r="I34">
        <f t="shared" si="3"/>
        <v>0</v>
      </c>
      <c r="J34">
        <f t="shared" si="2"/>
        <v>0</v>
      </c>
    </row>
    <row r="35" spans="1:10" x14ac:dyDescent="0.25">
      <c r="A35" t="s">
        <v>91</v>
      </c>
      <c r="B35">
        <v>76</v>
      </c>
      <c r="C35">
        <v>77.599999999999994</v>
      </c>
      <c r="D35">
        <v>10</v>
      </c>
      <c r="E35">
        <v>76</v>
      </c>
      <c r="F35">
        <v>77.599999999999994</v>
      </c>
      <c r="G35">
        <v>10</v>
      </c>
      <c r="H35">
        <f t="shared" si="1"/>
        <v>0</v>
      </c>
      <c r="I35">
        <f t="shared" si="3"/>
        <v>0</v>
      </c>
      <c r="J35">
        <f t="shared" si="2"/>
        <v>0</v>
      </c>
    </row>
    <row r="36" spans="1:10" x14ac:dyDescent="0.25">
      <c r="A36" t="s">
        <v>92</v>
      </c>
      <c r="B36">
        <v>102</v>
      </c>
      <c r="C36">
        <v>81.400000000000006</v>
      </c>
      <c r="D36">
        <v>17</v>
      </c>
      <c r="E36">
        <v>102</v>
      </c>
      <c r="F36">
        <v>81.400000000000006</v>
      </c>
      <c r="G36">
        <v>17</v>
      </c>
      <c r="H36">
        <f t="shared" si="1"/>
        <v>0</v>
      </c>
      <c r="I36">
        <f t="shared" si="3"/>
        <v>0</v>
      </c>
      <c r="J36">
        <f t="shared" si="2"/>
        <v>0</v>
      </c>
    </row>
    <row r="37" spans="1:10" x14ac:dyDescent="0.25">
      <c r="A37" t="s">
        <v>15</v>
      </c>
      <c r="B37">
        <v>7</v>
      </c>
      <c r="C37">
        <v>71.400000000000006</v>
      </c>
      <c r="D37">
        <v>2</v>
      </c>
      <c r="E37">
        <v>49</v>
      </c>
      <c r="F37">
        <v>73.5</v>
      </c>
      <c r="G37">
        <v>13</v>
      </c>
      <c r="H37">
        <f t="shared" si="1"/>
        <v>42</v>
      </c>
      <c r="I37">
        <f t="shared" si="3"/>
        <v>29</v>
      </c>
      <c r="J37">
        <f t="shared" si="2"/>
        <v>11</v>
      </c>
    </row>
    <row r="38" spans="1:10" x14ac:dyDescent="0.25">
      <c r="A38" t="s">
        <v>93</v>
      </c>
      <c r="B38">
        <v>2</v>
      </c>
      <c r="C38">
        <v>100</v>
      </c>
      <c r="D38">
        <v>0</v>
      </c>
      <c r="E38">
        <v>2</v>
      </c>
      <c r="F38">
        <v>100</v>
      </c>
      <c r="G38">
        <v>0</v>
      </c>
      <c r="H38">
        <f t="shared" si="1"/>
        <v>0</v>
      </c>
      <c r="I38">
        <f t="shared" si="3"/>
        <v>28</v>
      </c>
      <c r="J38">
        <f t="shared" si="2"/>
        <v>0</v>
      </c>
    </row>
    <row r="39" spans="1:10" x14ac:dyDescent="0.25">
      <c r="A39" t="s">
        <v>12</v>
      </c>
      <c r="B39">
        <v>4</v>
      </c>
      <c r="C39">
        <v>100</v>
      </c>
      <c r="D39">
        <v>0</v>
      </c>
      <c r="E39">
        <v>27</v>
      </c>
      <c r="F39">
        <v>88.9</v>
      </c>
      <c r="G39">
        <v>3</v>
      </c>
      <c r="H39">
        <f t="shared" si="1"/>
        <v>23</v>
      </c>
      <c r="I39">
        <f t="shared" si="3"/>
        <v>3</v>
      </c>
      <c r="J39">
        <f t="shared" si="2"/>
        <v>3</v>
      </c>
    </row>
    <row r="40" spans="1:10" x14ac:dyDescent="0.25">
      <c r="A40" t="s">
        <v>94</v>
      </c>
      <c r="B40">
        <v>4</v>
      </c>
      <c r="C40">
        <v>100</v>
      </c>
      <c r="D40">
        <v>0</v>
      </c>
      <c r="E40">
        <v>38</v>
      </c>
      <c r="F40">
        <v>86.8</v>
      </c>
      <c r="G40">
        <v>5</v>
      </c>
      <c r="H40">
        <f t="shared" si="1"/>
        <v>34</v>
      </c>
      <c r="I40">
        <f t="shared" si="3"/>
        <v>0</v>
      </c>
      <c r="J40">
        <f t="shared" si="2"/>
        <v>5</v>
      </c>
    </row>
    <row r="41" spans="1:10" x14ac:dyDescent="0.25">
      <c r="A41" t="s">
        <v>11</v>
      </c>
      <c r="B41">
        <v>102</v>
      </c>
      <c r="C41">
        <v>69.599999999999994</v>
      </c>
      <c r="D41">
        <v>23</v>
      </c>
      <c r="E41">
        <v>118</v>
      </c>
      <c r="F41">
        <v>72</v>
      </c>
      <c r="G41">
        <v>25</v>
      </c>
      <c r="H41">
        <f t="shared" si="1"/>
        <v>16</v>
      </c>
      <c r="I41">
        <f t="shared" si="3"/>
        <v>32</v>
      </c>
      <c r="J41">
        <f t="shared" si="2"/>
        <v>2</v>
      </c>
    </row>
    <row r="42" spans="1:10" x14ac:dyDescent="0.25">
      <c r="A42" t="s">
        <v>95</v>
      </c>
      <c r="B42">
        <v>7</v>
      </c>
      <c r="C42">
        <v>71.400000000000006</v>
      </c>
      <c r="D42">
        <v>2</v>
      </c>
      <c r="E42">
        <v>42</v>
      </c>
      <c r="F42">
        <v>83.3</v>
      </c>
      <c r="G42">
        <v>7</v>
      </c>
      <c r="H42">
        <f t="shared" si="1"/>
        <v>35</v>
      </c>
      <c r="I42">
        <f t="shared" si="3"/>
        <v>0</v>
      </c>
      <c r="J42">
        <f t="shared" si="2"/>
        <v>5</v>
      </c>
    </row>
    <row r="43" spans="1:10" x14ac:dyDescent="0.25">
      <c r="A43" t="s">
        <v>3</v>
      </c>
      <c r="B43">
        <v>6</v>
      </c>
      <c r="C43">
        <v>83.3</v>
      </c>
      <c r="D43">
        <v>1</v>
      </c>
      <c r="E43">
        <v>105</v>
      </c>
      <c r="F43">
        <v>70.5</v>
      </c>
      <c r="G43">
        <v>31</v>
      </c>
      <c r="H43">
        <f t="shared" si="1"/>
        <v>99</v>
      </c>
      <c r="I43">
        <f t="shared" si="3"/>
        <v>81</v>
      </c>
      <c r="J43">
        <f t="shared" si="2"/>
        <v>30</v>
      </c>
    </row>
    <row r="44" spans="1:10" x14ac:dyDescent="0.25">
      <c r="A44" t="s">
        <v>6</v>
      </c>
      <c r="B44">
        <v>2</v>
      </c>
      <c r="C44">
        <v>100</v>
      </c>
      <c r="D44">
        <v>0</v>
      </c>
      <c r="E44">
        <v>38</v>
      </c>
      <c r="F44">
        <v>73.7</v>
      </c>
      <c r="G44">
        <v>10</v>
      </c>
      <c r="H44">
        <f t="shared" si="1"/>
        <v>36</v>
      </c>
      <c r="I44">
        <f t="shared" si="3"/>
        <v>22</v>
      </c>
      <c r="J44">
        <f t="shared" si="2"/>
        <v>10</v>
      </c>
    </row>
    <row r="45" spans="1:10" x14ac:dyDescent="0.25">
      <c r="A45" t="s">
        <v>5</v>
      </c>
      <c r="B45">
        <v>11</v>
      </c>
      <c r="C45">
        <v>72.7</v>
      </c>
      <c r="D45">
        <v>3</v>
      </c>
      <c r="E45">
        <v>31</v>
      </c>
      <c r="F45">
        <v>67.7</v>
      </c>
      <c r="G45">
        <v>10</v>
      </c>
      <c r="H45">
        <f t="shared" si="1"/>
        <v>20</v>
      </c>
      <c r="I45">
        <f t="shared" si="3"/>
        <v>29</v>
      </c>
      <c r="J45">
        <f t="shared" si="2"/>
        <v>7</v>
      </c>
    </row>
    <row r="46" spans="1:10" x14ac:dyDescent="0.25">
      <c r="A46" t="s">
        <v>96</v>
      </c>
      <c r="B46">
        <v>3</v>
      </c>
      <c r="C46">
        <v>100</v>
      </c>
      <c r="D46">
        <v>0</v>
      </c>
      <c r="E46">
        <v>5</v>
      </c>
      <c r="F46">
        <v>100</v>
      </c>
      <c r="G46">
        <v>0</v>
      </c>
      <c r="H46">
        <f t="shared" si="1"/>
        <v>2</v>
      </c>
      <c r="I46">
        <f t="shared" si="3"/>
        <v>25</v>
      </c>
      <c r="J46">
        <f t="shared" si="2"/>
        <v>0</v>
      </c>
    </row>
    <row r="47" spans="1:10" x14ac:dyDescent="0.25">
      <c r="A47" t="s">
        <v>4</v>
      </c>
      <c r="B47">
        <v>7</v>
      </c>
      <c r="C47">
        <v>85.7</v>
      </c>
      <c r="D47">
        <v>1</v>
      </c>
      <c r="E47">
        <v>13</v>
      </c>
      <c r="F47">
        <v>53.9</v>
      </c>
      <c r="G47">
        <v>6</v>
      </c>
      <c r="H47">
        <f t="shared" si="1"/>
        <v>6</v>
      </c>
      <c r="I47">
        <f t="shared" si="3"/>
        <v>23</v>
      </c>
      <c r="J47">
        <f t="shared" si="2"/>
        <v>5</v>
      </c>
    </row>
    <row r="48" spans="1:10" x14ac:dyDescent="0.25">
      <c r="A48" t="s">
        <v>97</v>
      </c>
      <c r="B48">
        <v>0</v>
      </c>
      <c r="C48">
        <v>0</v>
      </c>
      <c r="D48">
        <v>0</v>
      </c>
      <c r="E48">
        <v>0</v>
      </c>
      <c r="F48" t="s">
        <v>157</v>
      </c>
      <c r="G48">
        <v>0</v>
      </c>
      <c r="H48">
        <f t="shared" si="1"/>
        <v>0</v>
      </c>
      <c r="I48">
        <f t="shared" si="3"/>
        <v>30</v>
      </c>
      <c r="J48">
        <f t="shared" si="2"/>
        <v>0</v>
      </c>
    </row>
    <row r="49" spans="1:10" x14ac:dyDescent="0.25">
      <c r="A49" t="s">
        <v>98</v>
      </c>
      <c r="B49">
        <v>0</v>
      </c>
      <c r="C49">
        <v>0</v>
      </c>
      <c r="D49">
        <v>0</v>
      </c>
      <c r="E49">
        <v>0</v>
      </c>
      <c r="F49" t="s">
        <v>157</v>
      </c>
      <c r="G49">
        <v>0</v>
      </c>
      <c r="H49">
        <f t="shared" si="1"/>
        <v>0</v>
      </c>
      <c r="I49">
        <f t="shared" si="3"/>
        <v>30</v>
      </c>
      <c r="J49">
        <f t="shared" si="2"/>
        <v>0</v>
      </c>
    </row>
    <row r="50" spans="1:10" x14ac:dyDescent="0.25">
      <c r="A50" t="s">
        <v>99</v>
      </c>
      <c r="B50">
        <v>0</v>
      </c>
      <c r="C50">
        <v>0</v>
      </c>
      <c r="D50">
        <v>0</v>
      </c>
      <c r="E50">
        <v>0</v>
      </c>
      <c r="F50" t="s">
        <v>157</v>
      </c>
      <c r="G50">
        <v>0</v>
      </c>
      <c r="H50">
        <f t="shared" si="1"/>
        <v>0</v>
      </c>
      <c r="I50">
        <f t="shared" si="3"/>
        <v>30</v>
      </c>
      <c r="J50">
        <f t="shared" si="2"/>
        <v>0</v>
      </c>
    </row>
    <row r="51" spans="1:10" x14ac:dyDescent="0.25">
      <c r="A51" t="s">
        <v>100</v>
      </c>
      <c r="B51">
        <v>0</v>
      </c>
      <c r="C51">
        <v>0</v>
      </c>
      <c r="D51">
        <v>0</v>
      </c>
      <c r="E51">
        <v>0</v>
      </c>
      <c r="F51" t="s">
        <v>157</v>
      </c>
      <c r="G51">
        <v>0</v>
      </c>
      <c r="H51">
        <f t="shared" si="1"/>
        <v>0</v>
      </c>
      <c r="I51">
        <f t="shared" si="3"/>
        <v>30</v>
      </c>
      <c r="J51">
        <f t="shared" si="2"/>
        <v>0</v>
      </c>
    </row>
    <row r="52" spans="1:10" x14ac:dyDescent="0.25">
      <c r="A52" t="s">
        <v>101</v>
      </c>
      <c r="B52">
        <v>0</v>
      </c>
      <c r="C52">
        <v>0</v>
      </c>
      <c r="D52">
        <v>0</v>
      </c>
      <c r="E52">
        <v>0</v>
      </c>
      <c r="F52" t="s">
        <v>157</v>
      </c>
      <c r="G52">
        <v>0</v>
      </c>
      <c r="H52">
        <f t="shared" si="1"/>
        <v>0</v>
      </c>
      <c r="I52">
        <f t="shared" si="3"/>
        <v>30</v>
      </c>
      <c r="J52">
        <f t="shared" si="2"/>
        <v>0</v>
      </c>
    </row>
    <row r="53" spans="1:10" x14ac:dyDescent="0.25">
      <c r="A53" t="s">
        <v>102</v>
      </c>
      <c r="B53">
        <v>0</v>
      </c>
      <c r="C53">
        <v>0</v>
      </c>
      <c r="D53">
        <v>0</v>
      </c>
      <c r="E53">
        <v>0</v>
      </c>
      <c r="F53" t="s">
        <v>157</v>
      </c>
      <c r="G53">
        <v>0</v>
      </c>
      <c r="H53">
        <f t="shared" si="1"/>
        <v>0</v>
      </c>
      <c r="I53">
        <f t="shared" si="3"/>
        <v>30</v>
      </c>
      <c r="J53">
        <f t="shared" si="2"/>
        <v>0</v>
      </c>
    </row>
    <row r="54" spans="1:10" x14ac:dyDescent="0.25">
      <c r="A54" t="s">
        <v>42</v>
      </c>
      <c r="B54">
        <v>0</v>
      </c>
      <c r="C54">
        <v>0</v>
      </c>
      <c r="D54">
        <v>0</v>
      </c>
      <c r="E54">
        <v>0</v>
      </c>
      <c r="F54" t="s">
        <v>157</v>
      </c>
      <c r="G54">
        <v>0</v>
      </c>
      <c r="H54">
        <f t="shared" si="1"/>
        <v>0</v>
      </c>
      <c r="I54">
        <f t="shared" si="3"/>
        <v>30</v>
      </c>
      <c r="J54">
        <f t="shared" si="2"/>
        <v>0</v>
      </c>
    </row>
    <row r="55" spans="1:10" x14ac:dyDescent="0.25">
      <c r="A55" t="s">
        <v>40</v>
      </c>
      <c r="B55">
        <v>0</v>
      </c>
      <c r="C55">
        <v>0</v>
      </c>
      <c r="D55">
        <v>0</v>
      </c>
      <c r="E55">
        <v>0</v>
      </c>
      <c r="F55" t="s">
        <v>157</v>
      </c>
      <c r="G55">
        <v>0</v>
      </c>
      <c r="H55">
        <f t="shared" si="1"/>
        <v>0</v>
      </c>
      <c r="I55">
        <f t="shared" si="3"/>
        <v>30</v>
      </c>
      <c r="J55">
        <f t="shared" si="2"/>
        <v>0</v>
      </c>
    </row>
    <row r="56" spans="1:10" x14ac:dyDescent="0.25">
      <c r="A56" t="s">
        <v>103</v>
      </c>
      <c r="B56">
        <v>0</v>
      </c>
      <c r="C56">
        <v>0</v>
      </c>
      <c r="D56">
        <v>0</v>
      </c>
      <c r="E56">
        <v>1</v>
      </c>
      <c r="F56">
        <v>100</v>
      </c>
      <c r="G56">
        <v>0</v>
      </c>
      <c r="H56">
        <f t="shared" si="1"/>
        <v>1</v>
      </c>
      <c r="I56">
        <f t="shared" si="3"/>
        <v>29</v>
      </c>
      <c r="J56">
        <f t="shared" si="2"/>
        <v>0</v>
      </c>
    </row>
    <row r="57" spans="1:10" x14ac:dyDescent="0.25">
      <c r="A57" t="s">
        <v>43</v>
      </c>
      <c r="B57">
        <v>0</v>
      </c>
      <c r="C57">
        <v>0</v>
      </c>
      <c r="D57">
        <v>0</v>
      </c>
      <c r="E57">
        <v>0</v>
      </c>
      <c r="F57" t="s">
        <v>157</v>
      </c>
      <c r="G57">
        <v>0</v>
      </c>
      <c r="H57">
        <f t="shared" si="1"/>
        <v>0</v>
      </c>
      <c r="I57">
        <f t="shared" si="3"/>
        <v>30</v>
      </c>
      <c r="J57">
        <f t="shared" si="2"/>
        <v>0</v>
      </c>
    </row>
    <row r="58" spans="1:10" x14ac:dyDescent="0.25">
      <c r="A58" t="s">
        <v>104</v>
      </c>
      <c r="B58">
        <v>0</v>
      </c>
      <c r="C58">
        <v>0</v>
      </c>
      <c r="D58">
        <v>0</v>
      </c>
      <c r="E58">
        <v>0</v>
      </c>
      <c r="F58" t="s">
        <v>157</v>
      </c>
      <c r="G58">
        <v>0</v>
      </c>
      <c r="H58">
        <f t="shared" si="1"/>
        <v>0</v>
      </c>
      <c r="I58">
        <f t="shared" si="3"/>
        <v>30</v>
      </c>
      <c r="J58">
        <f t="shared" si="2"/>
        <v>0</v>
      </c>
    </row>
    <row r="59" spans="1:10" x14ac:dyDescent="0.25">
      <c r="A59" t="s">
        <v>105</v>
      </c>
      <c r="B59">
        <v>0</v>
      </c>
      <c r="C59">
        <v>0</v>
      </c>
      <c r="D59">
        <v>0</v>
      </c>
      <c r="E59">
        <v>0</v>
      </c>
      <c r="F59" t="s">
        <v>157</v>
      </c>
      <c r="G59">
        <v>0</v>
      </c>
      <c r="H59">
        <f t="shared" si="1"/>
        <v>0</v>
      </c>
      <c r="I59">
        <f t="shared" si="3"/>
        <v>30</v>
      </c>
      <c r="J59">
        <f t="shared" si="2"/>
        <v>0</v>
      </c>
    </row>
    <row r="60" spans="1:10" x14ac:dyDescent="0.25">
      <c r="A60" t="s">
        <v>106</v>
      </c>
      <c r="B60">
        <v>0</v>
      </c>
      <c r="C60">
        <v>0</v>
      </c>
      <c r="D60">
        <v>0</v>
      </c>
      <c r="E60">
        <v>0</v>
      </c>
      <c r="F60" t="s">
        <v>157</v>
      </c>
      <c r="G60">
        <v>0</v>
      </c>
      <c r="H60">
        <f t="shared" si="1"/>
        <v>0</v>
      </c>
      <c r="I60">
        <f t="shared" si="3"/>
        <v>30</v>
      </c>
      <c r="J60">
        <f t="shared" si="2"/>
        <v>0</v>
      </c>
    </row>
    <row r="61" spans="1:10" x14ac:dyDescent="0.25">
      <c r="A61" t="s">
        <v>107</v>
      </c>
      <c r="B61">
        <v>0</v>
      </c>
      <c r="C61">
        <v>0</v>
      </c>
      <c r="D61">
        <v>0</v>
      </c>
      <c r="E61">
        <v>0</v>
      </c>
      <c r="F61" t="s">
        <v>157</v>
      </c>
      <c r="G61">
        <v>0</v>
      </c>
      <c r="H61">
        <f t="shared" si="1"/>
        <v>0</v>
      </c>
      <c r="I61">
        <f t="shared" si="3"/>
        <v>30</v>
      </c>
      <c r="J61">
        <f t="shared" si="2"/>
        <v>0</v>
      </c>
    </row>
    <row r="62" spans="1:10" x14ac:dyDescent="0.25">
      <c r="A62" t="s">
        <v>108</v>
      </c>
      <c r="B62">
        <v>0</v>
      </c>
      <c r="C62">
        <v>0</v>
      </c>
      <c r="D62">
        <v>0</v>
      </c>
      <c r="E62">
        <v>0</v>
      </c>
      <c r="F62" t="s">
        <v>157</v>
      </c>
      <c r="G62">
        <v>0</v>
      </c>
      <c r="H62">
        <f t="shared" si="1"/>
        <v>0</v>
      </c>
      <c r="I62">
        <f t="shared" si="3"/>
        <v>30</v>
      </c>
      <c r="J62">
        <f t="shared" si="2"/>
        <v>0</v>
      </c>
    </row>
    <row r="66" spans="2:3" x14ac:dyDescent="0.25">
      <c r="B66" t="s">
        <v>148</v>
      </c>
      <c r="C66" t="s">
        <v>150</v>
      </c>
    </row>
    <row r="67" spans="2:3" x14ac:dyDescent="0.25">
      <c r="B67" t="s">
        <v>149</v>
      </c>
      <c r="C67" t="s">
        <v>151</v>
      </c>
    </row>
  </sheetData>
  <autoFilter ref="A1:J1" xr:uid="{00000000-0001-0000-0400-000000000000}"/>
  <conditionalFormatting sqref="I2:I62">
    <cfRule type="top10" dxfId="35" priority="1" percent="1" rank="10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zoomScale="130" zoomScaleNormal="130" workbookViewId="0">
      <pane ySplit="1" topLeftCell="A2" activePane="bottomLeft" state="frozen"/>
      <selection pane="bottomLeft" activeCell="I48" sqref="I48"/>
    </sheetView>
  </sheetViews>
  <sheetFormatPr defaultRowHeight="15" x14ac:dyDescent="0.25"/>
  <cols>
    <col min="1" max="1" width="50.85546875" bestFit="1" customWidth="1"/>
    <col min="2" max="2" width="11.42578125" bestFit="1" customWidth="1"/>
    <col min="3" max="3" width="9.85546875" bestFit="1" customWidth="1"/>
    <col min="6" max="6" width="12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59</v>
      </c>
      <c r="E1" s="1" t="s">
        <v>1</v>
      </c>
      <c r="F1" s="1" t="s">
        <v>2</v>
      </c>
      <c r="G1" s="1" t="s">
        <v>59</v>
      </c>
      <c r="H1" s="1" t="s">
        <v>154</v>
      </c>
      <c r="I1" s="1" t="s">
        <v>156</v>
      </c>
      <c r="J1" s="1" t="s">
        <v>155</v>
      </c>
    </row>
    <row r="2" spans="1:10" x14ac:dyDescent="0.25">
      <c r="A2" t="s">
        <v>3</v>
      </c>
      <c r="B2">
        <v>50</v>
      </c>
      <c r="C2">
        <v>92</v>
      </c>
      <c r="D2">
        <v>4</v>
      </c>
      <c r="E2">
        <v>50</v>
      </c>
      <c r="F2">
        <v>92</v>
      </c>
      <c r="G2">
        <v>4</v>
      </c>
      <c r="H2">
        <f t="shared" ref="H2:J30" si="0">E2-B2</f>
        <v>0</v>
      </c>
      <c r="I2" s="2">
        <f>MAX(0, MAX(G2*8-E2, 30-E2))</f>
        <v>0</v>
      </c>
      <c r="J2">
        <f>G2-D2</f>
        <v>0</v>
      </c>
    </row>
    <row r="3" spans="1:10" x14ac:dyDescent="0.25">
      <c r="A3" t="s">
        <v>4</v>
      </c>
      <c r="B3">
        <v>56</v>
      </c>
      <c r="C3">
        <v>92.9</v>
      </c>
      <c r="D3">
        <v>4</v>
      </c>
      <c r="E3">
        <v>56</v>
      </c>
      <c r="F3">
        <v>92.9</v>
      </c>
      <c r="G3">
        <v>4</v>
      </c>
      <c r="H3">
        <f t="shared" si="0"/>
        <v>0</v>
      </c>
      <c r="I3" s="2">
        <f t="shared" ref="I3:I8" si="1">MAX(0, MAX(G3*8-E3, 30-E3))</f>
        <v>0</v>
      </c>
      <c r="J3">
        <f t="shared" si="0"/>
        <v>0</v>
      </c>
    </row>
    <row r="4" spans="1:10" x14ac:dyDescent="0.25">
      <c r="A4" t="s">
        <v>5</v>
      </c>
      <c r="B4">
        <v>52</v>
      </c>
      <c r="C4">
        <v>96.2</v>
      </c>
      <c r="D4">
        <v>2</v>
      </c>
      <c r="E4">
        <v>52</v>
      </c>
      <c r="F4">
        <v>96.2</v>
      </c>
      <c r="G4">
        <v>2</v>
      </c>
      <c r="H4">
        <f t="shared" si="0"/>
        <v>0</v>
      </c>
      <c r="I4" s="2">
        <f t="shared" si="1"/>
        <v>0</v>
      </c>
      <c r="J4">
        <f t="shared" si="0"/>
        <v>0</v>
      </c>
    </row>
    <row r="5" spans="1:10" x14ac:dyDescent="0.25">
      <c r="A5" t="s">
        <v>6</v>
      </c>
      <c r="B5">
        <v>41</v>
      </c>
      <c r="C5">
        <v>100</v>
      </c>
      <c r="D5">
        <v>0</v>
      </c>
      <c r="E5">
        <v>41</v>
      </c>
      <c r="F5">
        <v>100</v>
      </c>
      <c r="G5">
        <v>0</v>
      </c>
      <c r="H5">
        <f t="shared" si="0"/>
        <v>0</v>
      </c>
      <c r="I5" s="2">
        <f t="shared" si="1"/>
        <v>0</v>
      </c>
      <c r="J5">
        <f t="shared" si="0"/>
        <v>0</v>
      </c>
    </row>
    <row r="6" spans="1:10" x14ac:dyDescent="0.25">
      <c r="A6" t="s">
        <v>7</v>
      </c>
      <c r="B6">
        <v>40</v>
      </c>
      <c r="C6">
        <v>95</v>
      </c>
      <c r="D6">
        <v>2</v>
      </c>
      <c r="E6">
        <v>40</v>
      </c>
      <c r="F6">
        <v>95</v>
      </c>
      <c r="G6">
        <v>2</v>
      </c>
      <c r="H6">
        <f t="shared" si="0"/>
        <v>0</v>
      </c>
      <c r="I6" s="2">
        <f t="shared" si="1"/>
        <v>0</v>
      </c>
      <c r="J6">
        <f t="shared" si="0"/>
        <v>0</v>
      </c>
    </row>
    <row r="7" spans="1:10" x14ac:dyDescent="0.25">
      <c r="A7" t="s">
        <v>8</v>
      </c>
      <c r="B7">
        <v>61</v>
      </c>
      <c r="C7">
        <v>90.2</v>
      </c>
      <c r="D7">
        <v>6</v>
      </c>
      <c r="E7">
        <v>61</v>
      </c>
      <c r="F7">
        <v>90.2</v>
      </c>
      <c r="G7">
        <v>6</v>
      </c>
      <c r="H7">
        <f t="shared" si="0"/>
        <v>0</v>
      </c>
      <c r="I7" s="2">
        <f t="shared" si="1"/>
        <v>0</v>
      </c>
      <c r="J7">
        <f t="shared" si="0"/>
        <v>0</v>
      </c>
    </row>
    <row r="8" spans="1:10" x14ac:dyDescent="0.25">
      <c r="A8" t="s">
        <v>9</v>
      </c>
      <c r="B8">
        <v>60</v>
      </c>
      <c r="C8">
        <v>91.7</v>
      </c>
      <c r="D8">
        <v>5</v>
      </c>
      <c r="E8">
        <v>60</v>
      </c>
      <c r="F8">
        <v>91.7</v>
      </c>
      <c r="G8">
        <v>5</v>
      </c>
      <c r="H8">
        <f t="shared" si="0"/>
        <v>0</v>
      </c>
      <c r="I8" s="2">
        <f t="shared" si="1"/>
        <v>0</v>
      </c>
      <c r="J8">
        <f t="shared" si="0"/>
        <v>0</v>
      </c>
    </row>
    <row r="9" spans="1:10" x14ac:dyDescent="0.25">
      <c r="A9" t="s">
        <v>10</v>
      </c>
      <c r="B9">
        <v>6</v>
      </c>
      <c r="C9">
        <v>16.7</v>
      </c>
      <c r="D9">
        <v>5</v>
      </c>
      <c r="E9">
        <v>6</v>
      </c>
      <c r="F9">
        <v>16.7</v>
      </c>
      <c r="G9">
        <v>5</v>
      </c>
      <c r="H9">
        <f t="shared" si="0"/>
        <v>0</v>
      </c>
      <c r="I9" s="2">
        <f>MAX(0, MAX(G9*6-E9, 30-E9))</f>
        <v>24</v>
      </c>
      <c r="J9">
        <f t="shared" si="0"/>
        <v>0</v>
      </c>
    </row>
    <row r="10" spans="1:10" x14ac:dyDescent="0.25">
      <c r="A10" t="s">
        <v>11</v>
      </c>
      <c r="B10">
        <v>80</v>
      </c>
      <c r="C10">
        <v>85</v>
      </c>
      <c r="D10">
        <v>12</v>
      </c>
      <c r="E10">
        <v>80</v>
      </c>
      <c r="F10">
        <v>85</v>
      </c>
      <c r="G10">
        <v>12</v>
      </c>
      <c r="H10">
        <f t="shared" si="0"/>
        <v>0</v>
      </c>
      <c r="I10" s="2">
        <f t="shared" ref="I10:I57" si="2">MAX(0, MAX(G10*6-E10, 30-E10))</f>
        <v>0</v>
      </c>
      <c r="J10">
        <f t="shared" si="0"/>
        <v>0</v>
      </c>
    </row>
    <row r="11" spans="1:10" x14ac:dyDescent="0.25">
      <c r="A11" t="s">
        <v>12</v>
      </c>
      <c r="B11">
        <v>48</v>
      </c>
      <c r="C11">
        <v>87.5</v>
      </c>
      <c r="D11">
        <v>6</v>
      </c>
      <c r="E11">
        <v>48</v>
      </c>
      <c r="F11">
        <v>87.5</v>
      </c>
      <c r="G11">
        <v>6</v>
      </c>
      <c r="H11">
        <f t="shared" si="0"/>
        <v>0</v>
      </c>
      <c r="I11" s="2">
        <f t="shared" si="2"/>
        <v>0</v>
      </c>
      <c r="J11">
        <f t="shared" si="0"/>
        <v>0</v>
      </c>
    </row>
    <row r="12" spans="1:10" x14ac:dyDescent="0.25">
      <c r="A12" t="s">
        <v>13</v>
      </c>
      <c r="B12">
        <v>61</v>
      </c>
      <c r="C12">
        <v>88.5</v>
      </c>
      <c r="D12">
        <v>7</v>
      </c>
      <c r="E12">
        <v>61</v>
      </c>
      <c r="F12">
        <v>88.5</v>
      </c>
      <c r="G12">
        <v>7</v>
      </c>
      <c r="H12">
        <f t="shared" si="0"/>
        <v>0</v>
      </c>
      <c r="I12" s="2">
        <f t="shared" si="2"/>
        <v>0</v>
      </c>
      <c r="J12">
        <f t="shared" si="0"/>
        <v>0</v>
      </c>
    </row>
    <row r="13" spans="1:10" x14ac:dyDescent="0.25">
      <c r="A13" t="s">
        <v>14</v>
      </c>
      <c r="B13">
        <v>54</v>
      </c>
      <c r="C13">
        <v>83.3</v>
      </c>
      <c r="D13">
        <v>9</v>
      </c>
      <c r="E13">
        <v>54</v>
      </c>
      <c r="F13">
        <v>83.3</v>
      </c>
      <c r="G13">
        <v>9</v>
      </c>
      <c r="H13">
        <f t="shared" si="0"/>
        <v>0</v>
      </c>
      <c r="I13" s="2">
        <f t="shared" si="2"/>
        <v>0</v>
      </c>
      <c r="J13">
        <f t="shared" si="0"/>
        <v>0</v>
      </c>
    </row>
    <row r="14" spans="1:10" x14ac:dyDescent="0.25">
      <c r="A14" t="s">
        <v>15</v>
      </c>
      <c r="B14">
        <v>31</v>
      </c>
      <c r="C14">
        <v>93.6</v>
      </c>
      <c r="D14">
        <v>2</v>
      </c>
      <c r="E14">
        <v>31</v>
      </c>
      <c r="F14">
        <v>93.6</v>
      </c>
      <c r="G14">
        <v>2</v>
      </c>
      <c r="H14">
        <f t="shared" si="0"/>
        <v>0</v>
      </c>
      <c r="I14" s="2">
        <f t="shared" si="2"/>
        <v>0</v>
      </c>
      <c r="J14">
        <f t="shared" si="0"/>
        <v>0</v>
      </c>
    </row>
    <row r="15" spans="1:10" x14ac:dyDescent="0.25">
      <c r="A15" t="s">
        <v>16</v>
      </c>
      <c r="B15">
        <v>30</v>
      </c>
      <c r="C15">
        <v>90</v>
      </c>
      <c r="D15">
        <v>3</v>
      </c>
      <c r="E15">
        <v>30</v>
      </c>
      <c r="F15">
        <v>90</v>
      </c>
      <c r="G15">
        <v>3</v>
      </c>
      <c r="H15">
        <f t="shared" si="0"/>
        <v>0</v>
      </c>
      <c r="I15" s="2">
        <f t="shared" si="2"/>
        <v>0</v>
      </c>
      <c r="J15">
        <f t="shared" si="0"/>
        <v>0</v>
      </c>
    </row>
    <row r="16" spans="1:10" x14ac:dyDescent="0.25">
      <c r="A16" t="s">
        <v>17</v>
      </c>
      <c r="B16">
        <v>20</v>
      </c>
      <c r="C16">
        <v>90</v>
      </c>
      <c r="D16">
        <v>2</v>
      </c>
      <c r="E16">
        <v>20</v>
      </c>
      <c r="F16">
        <v>90</v>
      </c>
      <c r="G16">
        <v>2</v>
      </c>
      <c r="H16">
        <f t="shared" si="0"/>
        <v>0</v>
      </c>
      <c r="I16" s="2">
        <f t="shared" si="2"/>
        <v>10</v>
      </c>
      <c r="J16">
        <f t="shared" si="0"/>
        <v>0</v>
      </c>
    </row>
    <row r="17" spans="1:10" x14ac:dyDescent="0.25">
      <c r="A17" t="s">
        <v>18</v>
      </c>
      <c r="B17">
        <v>16</v>
      </c>
      <c r="C17">
        <v>75</v>
      </c>
      <c r="D17">
        <v>4</v>
      </c>
      <c r="E17">
        <v>16</v>
      </c>
      <c r="F17">
        <v>75</v>
      </c>
      <c r="G17">
        <v>4</v>
      </c>
      <c r="H17">
        <f t="shared" si="0"/>
        <v>0</v>
      </c>
      <c r="I17" s="2">
        <f t="shared" si="2"/>
        <v>14</v>
      </c>
      <c r="J17">
        <f t="shared" si="0"/>
        <v>0</v>
      </c>
    </row>
    <row r="18" spans="1:10" x14ac:dyDescent="0.25">
      <c r="A18" t="s">
        <v>19</v>
      </c>
      <c r="B18">
        <v>32</v>
      </c>
      <c r="C18">
        <v>71.900000000000006</v>
      </c>
      <c r="D18">
        <v>9</v>
      </c>
      <c r="E18">
        <v>32</v>
      </c>
      <c r="F18">
        <v>71.900000000000006</v>
      </c>
      <c r="G18">
        <v>9</v>
      </c>
      <c r="H18">
        <f t="shared" si="0"/>
        <v>0</v>
      </c>
      <c r="I18" s="2">
        <f t="shared" si="2"/>
        <v>22</v>
      </c>
      <c r="J18">
        <f t="shared" si="0"/>
        <v>0</v>
      </c>
    </row>
    <row r="19" spans="1:10" x14ac:dyDescent="0.25">
      <c r="A19" t="s">
        <v>20</v>
      </c>
      <c r="B19">
        <v>9</v>
      </c>
      <c r="C19">
        <v>66.7</v>
      </c>
      <c r="D19">
        <v>3</v>
      </c>
      <c r="E19">
        <v>9</v>
      </c>
      <c r="F19">
        <v>66.7</v>
      </c>
      <c r="G19">
        <v>3</v>
      </c>
      <c r="H19">
        <f t="shared" si="0"/>
        <v>0</v>
      </c>
      <c r="I19" s="2">
        <f t="shared" si="2"/>
        <v>21</v>
      </c>
      <c r="J19">
        <f t="shared" si="0"/>
        <v>0</v>
      </c>
    </row>
    <row r="20" spans="1:10" x14ac:dyDescent="0.25">
      <c r="A20" t="s">
        <v>21</v>
      </c>
      <c r="B20">
        <v>35</v>
      </c>
      <c r="C20">
        <v>82.9</v>
      </c>
      <c r="D20">
        <v>6</v>
      </c>
      <c r="E20">
        <v>35</v>
      </c>
      <c r="F20">
        <v>82.9</v>
      </c>
      <c r="G20">
        <v>6</v>
      </c>
      <c r="H20">
        <f t="shared" si="0"/>
        <v>0</v>
      </c>
      <c r="I20" s="2">
        <f t="shared" si="2"/>
        <v>1</v>
      </c>
      <c r="J20">
        <f t="shared" si="0"/>
        <v>0</v>
      </c>
    </row>
    <row r="21" spans="1:10" x14ac:dyDescent="0.25">
      <c r="A21" t="s">
        <v>22</v>
      </c>
      <c r="B21">
        <v>12</v>
      </c>
      <c r="C21">
        <v>75</v>
      </c>
      <c r="D21">
        <v>3</v>
      </c>
      <c r="E21">
        <v>12</v>
      </c>
      <c r="F21">
        <v>75</v>
      </c>
      <c r="G21">
        <v>3</v>
      </c>
      <c r="H21">
        <f t="shared" si="0"/>
        <v>0</v>
      </c>
      <c r="I21" s="2">
        <f t="shared" si="2"/>
        <v>18</v>
      </c>
      <c r="J21">
        <f t="shared" si="0"/>
        <v>0</v>
      </c>
    </row>
    <row r="22" spans="1:10" x14ac:dyDescent="0.25">
      <c r="A22" t="s">
        <v>23</v>
      </c>
      <c r="B22">
        <v>14</v>
      </c>
      <c r="C22">
        <v>92.9</v>
      </c>
      <c r="D22">
        <v>1</v>
      </c>
      <c r="E22">
        <v>14</v>
      </c>
      <c r="F22">
        <v>92.9</v>
      </c>
      <c r="G22">
        <v>1</v>
      </c>
      <c r="H22">
        <f t="shared" si="0"/>
        <v>0</v>
      </c>
      <c r="I22" s="2">
        <f t="shared" si="2"/>
        <v>16</v>
      </c>
      <c r="J22">
        <f t="shared" si="0"/>
        <v>0</v>
      </c>
    </row>
    <row r="23" spans="1:10" x14ac:dyDescent="0.25">
      <c r="A23" t="s">
        <v>24</v>
      </c>
      <c r="B23">
        <v>2</v>
      </c>
      <c r="C23">
        <v>50</v>
      </c>
      <c r="D23">
        <v>1</v>
      </c>
      <c r="E23">
        <v>2</v>
      </c>
      <c r="F23">
        <v>50</v>
      </c>
      <c r="G23">
        <v>1</v>
      </c>
      <c r="H23">
        <f t="shared" si="0"/>
        <v>0</v>
      </c>
      <c r="I23" s="2">
        <f t="shared" si="2"/>
        <v>28</v>
      </c>
      <c r="J23">
        <f t="shared" si="0"/>
        <v>0</v>
      </c>
    </row>
    <row r="24" spans="1:10" x14ac:dyDescent="0.25">
      <c r="A24" t="s">
        <v>25</v>
      </c>
      <c r="B24">
        <v>20</v>
      </c>
      <c r="C24">
        <v>75</v>
      </c>
      <c r="D24">
        <v>5</v>
      </c>
      <c r="E24">
        <v>20</v>
      </c>
      <c r="F24">
        <v>75</v>
      </c>
      <c r="G24">
        <v>5</v>
      </c>
      <c r="H24">
        <f t="shared" si="0"/>
        <v>0</v>
      </c>
      <c r="I24" s="2">
        <f t="shared" si="2"/>
        <v>10</v>
      </c>
      <c r="J24">
        <f t="shared" si="0"/>
        <v>0</v>
      </c>
    </row>
    <row r="25" spans="1:10" x14ac:dyDescent="0.25">
      <c r="A25" t="s">
        <v>26</v>
      </c>
      <c r="B25">
        <v>14</v>
      </c>
      <c r="C25">
        <v>85.7</v>
      </c>
      <c r="D25">
        <v>2</v>
      </c>
      <c r="E25">
        <v>14</v>
      </c>
      <c r="F25">
        <v>85.7</v>
      </c>
      <c r="G25">
        <v>2</v>
      </c>
      <c r="H25">
        <f t="shared" si="0"/>
        <v>0</v>
      </c>
      <c r="I25" s="2">
        <f t="shared" si="2"/>
        <v>16</v>
      </c>
      <c r="J25">
        <f t="shared" si="0"/>
        <v>0</v>
      </c>
    </row>
    <row r="26" spans="1:10" x14ac:dyDescent="0.25">
      <c r="A26" t="s">
        <v>27</v>
      </c>
      <c r="B26">
        <v>1</v>
      </c>
      <c r="C26">
        <v>100</v>
      </c>
      <c r="D26">
        <v>0</v>
      </c>
      <c r="E26">
        <v>1</v>
      </c>
      <c r="F26">
        <v>100</v>
      </c>
      <c r="G26">
        <v>0</v>
      </c>
      <c r="H26">
        <f t="shared" si="0"/>
        <v>0</v>
      </c>
      <c r="I26" s="2">
        <f t="shared" si="2"/>
        <v>29</v>
      </c>
      <c r="J26">
        <f t="shared" si="0"/>
        <v>0</v>
      </c>
    </row>
    <row r="27" spans="1:10" x14ac:dyDescent="0.25">
      <c r="A27" t="s">
        <v>28</v>
      </c>
      <c r="B27">
        <v>38</v>
      </c>
      <c r="C27">
        <v>68.400000000000006</v>
      </c>
      <c r="D27">
        <v>12</v>
      </c>
      <c r="E27">
        <v>38</v>
      </c>
      <c r="F27">
        <v>68.400000000000006</v>
      </c>
      <c r="G27">
        <v>12</v>
      </c>
      <c r="H27">
        <f t="shared" si="0"/>
        <v>0</v>
      </c>
      <c r="I27" s="2">
        <f t="shared" si="2"/>
        <v>34</v>
      </c>
      <c r="J27">
        <f t="shared" si="0"/>
        <v>0</v>
      </c>
    </row>
    <row r="28" spans="1:10" x14ac:dyDescent="0.25">
      <c r="A28" t="s">
        <v>29</v>
      </c>
      <c r="B28">
        <v>9</v>
      </c>
      <c r="C28">
        <v>100</v>
      </c>
      <c r="D28">
        <v>0</v>
      </c>
      <c r="E28">
        <v>9</v>
      </c>
      <c r="F28">
        <v>100</v>
      </c>
      <c r="G28">
        <v>0</v>
      </c>
      <c r="H28">
        <f t="shared" si="0"/>
        <v>0</v>
      </c>
      <c r="I28" s="2">
        <f t="shared" si="2"/>
        <v>21</v>
      </c>
      <c r="J28">
        <f t="shared" si="0"/>
        <v>0</v>
      </c>
    </row>
    <row r="29" spans="1:10" x14ac:dyDescent="0.25">
      <c r="A29" t="s">
        <v>30</v>
      </c>
      <c r="B29">
        <v>8</v>
      </c>
      <c r="C29">
        <v>100</v>
      </c>
      <c r="D29">
        <v>0</v>
      </c>
      <c r="E29">
        <v>8</v>
      </c>
      <c r="F29">
        <v>100</v>
      </c>
      <c r="G29">
        <v>0</v>
      </c>
      <c r="H29">
        <f t="shared" si="0"/>
        <v>0</v>
      </c>
      <c r="I29" s="2">
        <f t="shared" si="2"/>
        <v>22</v>
      </c>
      <c r="J29">
        <f t="shared" si="0"/>
        <v>0</v>
      </c>
    </row>
    <row r="30" spans="1:10" x14ac:dyDescent="0.25">
      <c r="A30" t="s">
        <v>31</v>
      </c>
      <c r="B30">
        <v>1</v>
      </c>
      <c r="C30">
        <v>100</v>
      </c>
      <c r="D30">
        <v>0</v>
      </c>
      <c r="E30">
        <v>1</v>
      </c>
      <c r="F30">
        <v>100</v>
      </c>
      <c r="G30">
        <v>0</v>
      </c>
      <c r="H30">
        <f t="shared" si="0"/>
        <v>0</v>
      </c>
      <c r="I30" s="2">
        <f t="shared" si="2"/>
        <v>29</v>
      </c>
      <c r="J30">
        <f t="shared" si="0"/>
        <v>0</v>
      </c>
    </row>
    <row r="31" spans="1:10" x14ac:dyDescent="0.25">
      <c r="A31" t="s">
        <v>32</v>
      </c>
      <c r="B31">
        <v>39</v>
      </c>
      <c r="C31">
        <v>92.3</v>
      </c>
      <c r="D31">
        <v>3</v>
      </c>
      <c r="E31">
        <v>39</v>
      </c>
      <c r="F31">
        <v>92.3</v>
      </c>
      <c r="G31">
        <v>3</v>
      </c>
      <c r="H31">
        <f t="shared" ref="H31:H57" si="3">E31-B31</f>
        <v>0</v>
      </c>
      <c r="I31" s="2">
        <f t="shared" si="2"/>
        <v>0</v>
      </c>
      <c r="J31">
        <f t="shared" ref="J31:J57" si="4">G31-D31</f>
        <v>0</v>
      </c>
    </row>
    <row r="32" spans="1:10" x14ac:dyDescent="0.25">
      <c r="A32" t="s">
        <v>33</v>
      </c>
      <c r="B32">
        <v>56</v>
      </c>
      <c r="C32">
        <v>89.3</v>
      </c>
      <c r="D32">
        <v>6</v>
      </c>
      <c r="E32">
        <v>56</v>
      </c>
      <c r="F32">
        <v>89.3</v>
      </c>
      <c r="G32">
        <v>6</v>
      </c>
      <c r="H32">
        <f t="shared" si="3"/>
        <v>0</v>
      </c>
      <c r="I32" s="2">
        <f t="shared" si="2"/>
        <v>0</v>
      </c>
      <c r="J32">
        <f t="shared" si="4"/>
        <v>0</v>
      </c>
    </row>
    <row r="33" spans="1:10" x14ac:dyDescent="0.25">
      <c r="A33" t="s">
        <v>34</v>
      </c>
      <c r="B33">
        <v>5</v>
      </c>
      <c r="C33">
        <v>100</v>
      </c>
      <c r="D33">
        <v>0</v>
      </c>
      <c r="E33">
        <v>5</v>
      </c>
      <c r="F33">
        <v>100</v>
      </c>
      <c r="G33">
        <v>0</v>
      </c>
      <c r="H33">
        <f t="shared" si="3"/>
        <v>0</v>
      </c>
      <c r="I33" s="2">
        <f t="shared" si="2"/>
        <v>25</v>
      </c>
      <c r="J33">
        <f t="shared" si="4"/>
        <v>0</v>
      </c>
    </row>
    <row r="34" spans="1:10" x14ac:dyDescent="0.25">
      <c r="A34" t="s">
        <v>35</v>
      </c>
      <c r="B34">
        <v>12</v>
      </c>
      <c r="C34">
        <v>83.3</v>
      </c>
      <c r="D34">
        <v>2</v>
      </c>
      <c r="E34">
        <v>12</v>
      </c>
      <c r="F34">
        <v>83.3</v>
      </c>
      <c r="G34">
        <v>2</v>
      </c>
      <c r="H34">
        <f t="shared" si="3"/>
        <v>0</v>
      </c>
      <c r="I34" s="2">
        <f t="shared" si="2"/>
        <v>18</v>
      </c>
      <c r="J34">
        <f t="shared" si="4"/>
        <v>0</v>
      </c>
    </row>
    <row r="35" spans="1:10" x14ac:dyDescent="0.25">
      <c r="A35" t="s">
        <v>36</v>
      </c>
      <c r="B35">
        <v>2</v>
      </c>
      <c r="C35">
        <v>100</v>
      </c>
      <c r="D35">
        <v>0</v>
      </c>
      <c r="E35">
        <v>2</v>
      </c>
      <c r="F35">
        <v>100</v>
      </c>
      <c r="G35">
        <v>0</v>
      </c>
      <c r="H35">
        <f t="shared" si="3"/>
        <v>0</v>
      </c>
      <c r="I35" s="2">
        <f t="shared" si="2"/>
        <v>28</v>
      </c>
      <c r="J35">
        <f t="shared" si="4"/>
        <v>0</v>
      </c>
    </row>
    <row r="36" spans="1:10" x14ac:dyDescent="0.25">
      <c r="A36" t="s">
        <v>37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f t="shared" si="3"/>
        <v>0</v>
      </c>
      <c r="I36" s="2">
        <f t="shared" si="2"/>
        <v>30</v>
      </c>
      <c r="J36">
        <f t="shared" si="4"/>
        <v>0</v>
      </c>
    </row>
    <row r="37" spans="1:10" x14ac:dyDescent="0.25">
      <c r="A37" t="s">
        <v>38</v>
      </c>
      <c r="B37">
        <v>60</v>
      </c>
      <c r="C37">
        <v>98.3</v>
      </c>
      <c r="D37">
        <v>1</v>
      </c>
      <c r="E37">
        <v>60</v>
      </c>
      <c r="F37">
        <v>98.3</v>
      </c>
      <c r="G37">
        <v>1</v>
      </c>
      <c r="H37">
        <f t="shared" si="3"/>
        <v>0</v>
      </c>
      <c r="I37" s="2">
        <f t="shared" si="2"/>
        <v>0</v>
      </c>
      <c r="J37">
        <f t="shared" si="4"/>
        <v>0</v>
      </c>
    </row>
    <row r="38" spans="1:10" x14ac:dyDescent="0.25">
      <c r="A38" t="s">
        <v>39</v>
      </c>
      <c r="B38">
        <v>16</v>
      </c>
      <c r="C38">
        <v>93.8</v>
      </c>
      <c r="D38">
        <v>1</v>
      </c>
      <c r="E38">
        <v>16</v>
      </c>
      <c r="F38">
        <v>93.8</v>
      </c>
      <c r="G38">
        <v>1</v>
      </c>
      <c r="H38">
        <f t="shared" si="3"/>
        <v>0</v>
      </c>
      <c r="I38" s="2">
        <f t="shared" si="2"/>
        <v>14</v>
      </c>
      <c r="J38">
        <f t="shared" si="4"/>
        <v>0</v>
      </c>
    </row>
    <row r="39" spans="1:10" x14ac:dyDescent="0.25">
      <c r="A39" t="s">
        <v>40</v>
      </c>
      <c r="B39">
        <v>21</v>
      </c>
      <c r="C39">
        <v>90.5</v>
      </c>
      <c r="D39">
        <v>2</v>
      </c>
      <c r="E39">
        <v>21</v>
      </c>
      <c r="F39">
        <v>90.5</v>
      </c>
      <c r="G39">
        <v>2</v>
      </c>
      <c r="H39">
        <f t="shared" si="3"/>
        <v>0</v>
      </c>
      <c r="I39" s="2">
        <f t="shared" si="2"/>
        <v>9</v>
      </c>
      <c r="J39">
        <f t="shared" si="4"/>
        <v>0</v>
      </c>
    </row>
    <row r="40" spans="1:10" x14ac:dyDescent="0.25">
      <c r="A40" t="s">
        <v>41</v>
      </c>
      <c r="B40">
        <v>11</v>
      </c>
      <c r="C40">
        <v>90.9</v>
      </c>
      <c r="D40">
        <v>1</v>
      </c>
      <c r="E40">
        <v>11</v>
      </c>
      <c r="F40">
        <v>90.9</v>
      </c>
      <c r="G40">
        <v>1</v>
      </c>
      <c r="H40">
        <f t="shared" si="3"/>
        <v>0</v>
      </c>
      <c r="I40" s="2">
        <f t="shared" si="2"/>
        <v>19</v>
      </c>
      <c r="J40">
        <f t="shared" si="4"/>
        <v>0</v>
      </c>
    </row>
    <row r="41" spans="1:10" x14ac:dyDescent="0.25">
      <c r="A41" t="s">
        <v>42</v>
      </c>
      <c r="B41">
        <v>39</v>
      </c>
      <c r="C41">
        <v>82.1</v>
      </c>
      <c r="D41">
        <v>7</v>
      </c>
      <c r="E41">
        <v>39</v>
      </c>
      <c r="F41">
        <v>82.1</v>
      </c>
      <c r="G41">
        <v>7</v>
      </c>
      <c r="H41">
        <f t="shared" si="3"/>
        <v>0</v>
      </c>
      <c r="I41" s="2">
        <f t="shared" si="2"/>
        <v>3</v>
      </c>
      <c r="J41">
        <f t="shared" si="4"/>
        <v>0</v>
      </c>
    </row>
    <row r="42" spans="1:10" x14ac:dyDescent="0.25">
      <c r="A42" t="s">
        <v>43</v>
      </c>
      <c r="B42">
        <v>18</v>
      </c>
      <c r="C42">
        <v>83.3</v>
      </c>
      <c r="D42">
        <v>3</v>
      </c>
      <c r="E42">
        <v>18</v>
      </c>
      <c r="F42">
        <v>83.3</v>
      </c>
      <c r="G42">
        <v>3</v>
      </c>
      <c r="H42">
        <f t="shared" si="3"/>
        <v>0</v>
      </c>
      <c r="I42" s="2">
        <f t="shared" si="2"/>
        <v>12</v>
      </c>
      <c r="J42">
        <f t="shared" si="4"/>
        <v>0</v>
      </c>
    </row>
    <row r="43" spans="1:10" x14ac:dyDescent="0.25">
      <c r="A43" t="s">
        <v>44</v>
      </c>
      <c r="B43">
        <v>9</v>
      </c>
      <c r="C43">
        <v>100</v>
      </c>
      <c r="D43">
        <v>0</v>
      </c>
      <c r="E43">
        <v>9</v>
      </c>
      <c r="F43">
        <v>100</v>
      </c>
      <c r="G43">
        <v>0</v>
      </c>
      <c r="H43">
        <f t="shared" si="3"/>
        <v>0</v>
      </c>
      <c r="I43" s="2">
        <f t="shared" si="2"/>
        <v>21</v>
      </c>
      <c r="J43">
        <f t="shared" si="4"/>
        <v>0</v>
      </c>
    </row>
    <row r="44" spans="1:10" x14ac:dyDescent="0.25">
      <c r="A44" t="s">
        <v>45</v>
      </c>
      <c r="B44">
        <v>14</v>
      </c>
      <c r="C44">
        <v>78.599999999999994</v>
      </c>
      <c r="D44">
        <v>3</v>
      </c>
      <c r="E44">
        <v>14</v>
      </c>
      <c r="F44">
        <v>78.599999999999994</v>
      </c>
      <c r="G44">
        <v>3</v>
      </c>
      <c r="H44">
        <f t="shared" si="3"/>
        <v>0</v>
      </c>
      <c r="I44" s="2">
        <f t="shared" si="2"/>
        <v>16</v>
      </c>
      <c r="J44">
        <f t="shared" si="4"/>
        <v>0</v>
      </c>
    </row>
    <row r="45" spans="1:10" x14ac:dyDescent="0.25">
      <c r="A45" t="s">
        <v>46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f t="shared" si="3"/>
        <v>0</v>
      </c>
      <c r="I45" s="2">
        <f t="shared" si="2"/>
        <v>30</v>
      </c>
      <c r="J45">
        <f t="shared" si="4"/>
        <v>0</v>
      </c>
    </row>
    <row r="46" spans="1:10" x14ac:dyDescent="0.25">
      <c r="A46" t="s">
        <v>47</v>
      </c>
      <c r="B46">
        <v>9</v>
      </c>
      <c r="C46">
        <v>100</v>
      </c>
      <c r="D46">
        <v>0</v>
      </c>
      <c r="E46">
        <v>9</v>
      </c>
      <c r="F46">
        <v>100</v>
      </c>
      <c r="G46">
        <v>0</v>
      </c>
      <c r="H46">
        <f t="shared" si="3"/>
        <v>0</v>
      </c>
      <c r="I46" s="2">
        <f t="shared" si="2"/>
        <v>21</v>
      </c>
      <c r="J46">
        <f t="shared" si="4"/>
        <v>0</v>
      </c>
    </row>
    <row r="47" spans="1:10" x14ac:dyDescent="0.25">
      <c r="A47" t="s">
        <v>48</v>
      </c>
      <c r="B47">
        <v>11</v>
      </c>
      <c r="C47">
        <v>90.9</v>
      </c>
      <c r="D47">
        <v>1</v>
      </c>
      <c r="E47">
        <v>11</v>
      </c>
      <c r="F47">
        <v>90.9</v>
      </c>
      <c r="G47">
        <v>1</v>
      </c>
      <c r="H47">
        <f t="shared" si="3"/>
        <v>0</v>
      </c>
      <c r="I47" s="2">
        <f t="shared" si="2"/>
        <v>19</v>
      </c>
      <c r="J47">
        <f t="shared" si="4"/>
        <v>0</v>
      </c>
    </row>
    <row r="48" spans="1:10" x14ac:dyDescent="0.25">
      <c r="A48" t="s">
        <v>49</v>
      </c>
      <c r="B48">
        <v>8</v>
      </c>
      <c r="C48">
        <v>87.5</v>
      </c>
      <c r="D48">
        <v>1</v>
      </c>
      <c r="E48">
        <v>8</v>
      </c>
      <c r="F48">
        <v>87.5</v>
      </c>
      <c r="G48">
        <v>1</v>
      </c>
      <c r="H48">
        <f t="shared" si="3"/>
        <v>0</v>
      </c>
      <c r="I48" s="2">
        <f t="shared" si="2"/>
        <v>22</v>
      </c>
      <c r="J48">
        <f t="shared" si="4"/>
        <v>0</v>
      </c>
    </row>
    <row r="49" spans="1:10" x14ac:dyDescent="0.25">
      <c r="A49" t="s">
        <v>50</v>
      </c>
      <c r="B49">
        <v>3</v>
      </c>
      <c r="C49">
        <v>100</v>
      </c>
      <c r="D49">
        <v>0</v>
      </c>
      <c r="E49">
        <v>3</v>
      </c>
      <c r="F49">
        <v>100</v>
      </c>
      <c r="G49">
        <v>0</v>
      </c>
      <c r="H49">
        <f t="shared" si="3"/>
        <v>0</v>
      </c>
      <c r="I49" s="2">
        <f t="shared" si="2"/>
        <v>27</v>
      </c>
      <c r="J49">
        <f t="shared" si="4"/>
        <v>0</v>
      </c>
    </row>
    <row r="50" spans="1:10" x14ac:dyDescent="0.25">
      <c r="A50" t="s">
        <v>51</v>
      </c>
      <c r="B50">
        <v>3</v>
      </c>
      <c r="C50">
        <v>100</v>
      </c>
      <c r="D50">
        <v>0</v>
      </c>
      <c r="E50">
        <v>3</v>
      </c>
      <c r="F50">
        <v>100</v>
      </c>
      <c r="G50">
        <v>0</v>
      </c>
      <c r="H50">
        <f t="shared" si="3"/>
        <v>0</v>
      </c>
      <c r="I50" s="2">
        <f t="shared" si="2"/>
        <v>27</v>
      </c>
      <c r="J50">
        <f t="shared" si="4"/>
        <v>0</v>
      </c>
    </row>
    <row r="51" spans="1:10" x14ac:dyDescent="0.25">
      <c r="A51" t="s">
        <v>52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f t="shared" si="3"/>
        <v>0</v>
      </c>
      <c r="I51" s="2">
        <f t="shared" si="2"/>
        <v>30</v>
      </c>
      <c r="J51">
        <f t="shared" si="4"/>
        <v>0</v>
      </c>
    </row>
    <row r="52" spans="1:10" x14ac:dyDescent="0.25">
      <c r="A52" t="s">
        <v>53</v>
      </c>
      <c r="B52">
        <v>24</v>
      </c>
      <c r="C52">
        <v>83.3</v>
      </c>
      <c r="D52">
        <v>4</v>
      </c>
      <c r="E52">
        <v>24</v>
      </c>
      <c r="F52">
        <v>83.3</v>
      </c>
      <c r="G52">
        <v>4</v>
      </c>
      <c r="H52">
        <f t="shared" si="3"/>
        <v>0</v>
      </c>
      <c r="I52" s="2">
        <f t="shared" si="2"/>
        <v>6</v>
      </c>
      <c r="J52">
        <f t="shared" si="4"/>
        <v>0</v>
      </c>
    </row>
    <row r="53" spans="1:10" x14ac:dyDescent="0.25">
      <c r="A53" t="s">
        <v>54</v>
      </c>
      <c r="B53">
        <v>1</v>
      </c>
      <c r="C53">
        <v>100</v>
      </c>
      <c r="D53">
        <v>0</v>
      </c>
      <c r="E53">
        <v>1</v>
      </c>
      <c r="F53">
        <v>100</v>
      </c>
      <c r="G53">
        <v>0</v>
      </c>
      <c r="H53">
        <f t="shared" si="3"/>
        <v>0</v>
      </c>
      <c r="I53" s="2">
        <f t="shared" si="2"/>
        <v>29</v>
      </c>
      <c r="J53">
        <f t="shared" si="4"/>
        <v>0</v>
      </c>
    </row>
    <row r="54" spans="1:10" x14ac:dyDescent="0.25">
      <c r="A54" t="s">
        <v>55</v>
      </c>
      <c r="B54">
        <v>8</v>
      </c>
      <c r="C54">
        <v>100</v>
      </c>
      <c r="D54">
        <v>0</v>
      </c>
      <c r="E54">
        <v>8</v>
      </c>
      <c r="F54">
        <v>100</v>
      </c>
      <c r="G54">
        <v>0</v>
      </c>
      <c r="H54">
        <f t="shared" si="3"/>
        <v>0</v>
      </c>
      <c r="I54" s="2">
        <f t="shared" si="2"/>
        <v>22</v>
      </c>
      <c r="J54">
        <f t="shared" si="4"/>
        <v>0</v>
      </c>
    </row>
    <row r="55" spans="1:10" x14ac:dyDescent="0.25">
      <c r="A55" t="s">
        <v>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f t="shared" si="3"/>
        <v>0</v>
      </c>
      <c r="I55" s="2">
        <f t="shared" si="2"/>
        <v>30</v>
      </c>
      <c r="J55">
        <f t="shared" si="4"/>
        <v>0</v>
      </c>
    </row>
    <row r="56" spans="1:10" x14ac:dyDescent="0.25">
      <c r="A56" t="s">
        <v>57</v>
      </c>
      <c r="B56">
        <v>50</v>
      </c>
      <c r="C56">
        <v>94</v>
      </c>
      <c r="D56">
        <v>3</v>
      </c>
      <c r="E56">
        <v>50</v>
      </c>
      <c r="F56">
        <v>94</v>
      </c>
      <c r="G56">
        <v>3</v>
      </c>
      <c r="H56">
        <f t="shared" si="3"/>
        <v>0</v>
      </c>
      <c r="I56" s="2">
        <f t="shared" si="2"/>
        <v>0</v>
      </c>
      <c r="J56">
        <f t="shared" si="4"/>
        <v>0</v>
      </c>
    </row>
    <row r="57" spans="1:10" x14ac:dyDescent="0.25">
      <c r="A57" t="s">
        <v>58</v>
      </c>
      <c r="B57">
        <v>44</v>
      </c>
      <c r="C57">
        <v>88.6</v>
      </c>
      <c r="D57">
        <v>5</v>
      </c>
      <c r="E57">
        <v>44</v>
      </c>
      <c r="F57">
        <v>88.6</v>
      </c>
      <c r="G57">
        <v>5</v>
      </c>
      <c r="H57">
        <f t="shared" si="3"/>
        <v>0</v>
      </c>
      <c r="I57" s="2">
        <f t="shared" si="2"/>
        <v>0</v>
      </c>
      <c r="J57">
        <f t="shared" si="4"/>
        <v>0</v>
      </c>
    </row>
    <row r="59" spans="1:10" x14ac:dyDescent="0.25">
      <c r="H59">
        <f>SUM(H2:H57)</f>
        <v>0</v>
      </c>
      <c r="I59">
        <f>SUM(I2:I57)</f>
        <v>773</v>
      </c>
    </row>
  </sheetData>
  <autoFilter ref="A1:J1" xr:uid="{00000000-0001-0000-0300-000000000000}"/>
  <conditionalFormatting sqref="E1">
    <cfRule type="cellIs" dxfId="34" priority="23" operator="lessThan">
      <formula>20</formula>
    </cfRule>
  </conditionalFormatting>
  <conditionalFormatting sqref="E2:E57">
    <cfRule type="top10" dxfId="33" priority="5" bottom="1" rank="10"/>
  </conditionalFormatting>
  <conditionalFormatting sqref="F1">
    <cfRule type="cellIs" dxfId="32" priority="22" operator="lessThan">
      <formula>85</formula>
    </cfRule>
  </conditionalFormatting>
  <conditionalFormatting sqref="F2:F57">
    <cfRule type="top10" dxfId="31" priority="11" bottom="1" rank="10"/>
  </conditionalFormatting>
  <conditionalFormatting sqref="G2:G57">
    <cfRule type="top10" dxfId="30" priority="13" percent="1" rank="10"/>
  </conditionalFormatting>
  <conditionalFormatting sqref="I2:I57">
    <cfRule type="top10" dxfId="29" priority="4" percent="1" rank="10"/>
    <cfRule type="top10" dxfId="28" priority="6" rank="10"/>
    <cfRule type="top10" dxfId="27" priority="7" percent="1" rank="10"/>
  </conditionalFormatting>
  <conditionalFormatting sqref="J2:J57">
    <cfRule type="top10" dxfId="26" priority="14" percent="1" rank="5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B76C-D534-44D5-8BA5-0757F9391933}">
  <dimension ref="A1:J61"/>
  <sheetViews>
    <sheetView zoomScale="145" zoomScaleNormal="145" workbookViewId="0">
      <pane ySplit="1" topLeftCell="A2" activePane="bottomLeft" state="frozen"/>
      <selection pane="bottomLeft" activeCell="A23" sqref="A23"/>
    </sheetView>
  </sheetViews>
  <sheetFormatPr defaultRowHeight="15" x14ac:dyDescent="0.25"/>
  <cols>
    <col min="1" max="1" width="36.85546875" bestFit="1" customWidth="1"/>
    <col min="7" max="7" width="7.5703125" customWidth="1"/>
    <col min="8" max="8" width="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59</v>
      </c>
      <c r="E1" s="1" t="s">
        <v>1</v>
      </c>
      <c r="F1" s="1" t="s">
        <v>2</v>
      </c>
      <c r="G1" s="1" t="s">
        <v>59</v>
      </c>
      <c r="H1" s="1" t="s">
        <v>154</v>
      </c>
      <c r="I1" s="1" t="s">
        <v>156</v>
      </c>
      <c r="J1" s="1" t="s">
        <v>155</v>
      </c>
    </row>
    <row r="2" spans="1:10" x14ac:dyDescent="0.25">
      <c r="A2" t="s">
        <v>158</v>
      </c>
      <c r="B2">
        <v>11</v>
      </c>
      <c r="C2">
        <v>100</v>
      </c>
      <c r="D2">
        <v>0</v>
      </c>
      <c r="E2">
        <v>11</v>
      </c>
      <c r="F2">
        <v>100</v>
      </c>
      <c r="G2">
        <v>0</v>
      </c>
      <c r="H2">
        <f t="shared" ref="H2:J30" si="0">E2-B2</f>
        <v>0</v>
      </c>
      <c r="J2">
        <f>G2-D2</f>
        <v>0</v>
      </c>
    </row>
    <row r="3" spans="1:10" x14ac:dyDescent="0.25">
      <c r="A3" t="s">
        <v>159</v>
      </c>
      <c r="B3">
        <v>13</v>
      </c>
      <c r="C3">
        <v>92.3</v>
      </c>
      <c r="D3">
        <v>1</v>
      </c>
      <c r="E3">
        <v>16</v>
      </c>
      <c r="F3">
        <v>93.8</v>
      </c>
      <c r="G3">
        <v>1</v>
      </c>
      <c r="H3">
        <f t="shared" si="0"/>
        <v>3</v>
      </c>
      <c r="J3">
        <f t="shared" si="0"/>
        <v>0</v>
      </c>
    </row>
    <row r="4" spans="1:10" x14ac:dyDescent="0.25">
      <c r="A4" t="s">
        <v>160</v>
      </c>
      <c r="B4">
        <v>15</v>
      </c>
      <c r="C4">
        <v>86.7</v>
      </c>
      <c r="D4">
        <v>2</v>
      </c>
      <c r="E4">
        <v>20</v>
      </c>
      <c r="F4">
        <v>90</v>
      </c>
      <c r="G4">
        <v>2</v>
      </c>
      <c r="H4">
        <f t="shared" si="0"/>
        <v>5</v>
      </c>
      <c r="J4">
        <f t="shared" si="0"/>
        <v>0</v>
      </c>
    </row>
    <row r="5" spans="1:10" x14ac:dyDescent="0.25">
      <c r="A5" t="s">
        <v>161</v>
      </c>
      <c r="B5">
        <v>23</v>
      </c>
      <c r="C5">
        <v>82.6</v>
      </c>
      <c r="D5">
        <v>4</v>
      </c>
      <c r="E5">
        <v>38</v>
      </c>
      <c r="F5">
        <v>86.8</v>
      </c>
      <c r="G5">
        <v>5</v>
      </c>
      <c r="H5">
        <f t="shared" si="0"/>
        <v>15</v>
      </c>
      <c r="J5">
        <f t="shared" si="0"/>
        <v>1</v>
      </c>
    </row>
    <row r="6" spans="1:10" x14ac:dyDescent="0.25">
      <c r="A6" t="s">
        <v>162</v>
      </c>
      <c r="B6">
        <v>17</v>
      </c>
      <c r="C6">
        <v>94.1</v>
      </c>
      <c r="D6">
        <v>1</v>
      </c>
      <c r="E6">
        <v>20</v>
      </c>
      <c r="F6">
        <v>95</v>
      </c>
      <c r="G6">
        <v>1</v>
      </c>
      <c r="H6">
        <f t="shared" si="0"/>
        <v>3</v>
      </c>
      <c r="J6">
        <f t="shared" si="0"/>
        <v>0</v>
      </c>
    </row>
    <row r="7" spans="1:10" x14ac:dyDescent="0.25">
      <c r="A7" t="s">
        <v>163</v>
      </c>
      <c r="B7">
        <v>14</v>
      </c>
      <c r="C7">
        <v>100</v>
      </c>
      <c r="D7">
        <v>0</v>
      </c>
      <c r="E7">
        <v>21</v>
      </c>
      <c r="F7">
        <v>100</v>
      </c>
      <c r="G7">
        <v>0</v>
      </c>
      <c r="H7">
        <f t="shared" si="0"/>
        <v>7</v>
      </c>
      <c r="J7">
        <f t="shared" si="0"/>
        <v>0</v>
      </c>
    </row>
    <row r="8" spans="1:10" x14ac:dyDescent="0.25">
      <c r="A8" t="s">
        <v>164</v>
      </c>
      <c r="B8">
        <v>30</v>
      </c>
      <c r="C8">
        <v>83.3</v>
      </c>
      <c r="D8">
        <v>3</v>
      </c>
      <c r="E8">
        <v>35</v>
      </c>
      <c r="F8">
        <v>82.9</v>
      </c>
      <c r="G8">
        <v>4</v>
      </c>
      <c r="H8">
        <f t="shared" si="0"/>
        <v>5</v>
      </c>
      <c r="J8">
        <f t="shared" si="0"/>
        <v>1</v>
      </c>
    </row>
    <row r="9" spans="1:10" x14ac:dyDescent="0.25">
      <c r="A9" t="s">
        <v>165</v>
      </c>
      <c r="B9" s="2">
        <v>33</v>
      </c>
      <c r="C9">
        <v>84.9</v>
      </c>
      <c r="D9">
        <v>5</v>
      </c>
      <c r="E9">
        <v>45</v>
      </c>
      <c r="F9">
        <v>86.7</v>
      </c>
      <c r="G9">
        <v>6</v>
      </c>
      <c r="H9">
        <f t="shared" si="0"/>
        <v>12</v>
      </c>
      <c r="J9">
        <f t="shared" si="0"/>
        <v>1</v>
      </c>
    </row>
    <row r="10" spans="1:10" x14ac:dyDescent="0.25">
      <c r="A10" t="s">
        <v>166</v>
      </c>
      <c r="B10">
        <v>16</v>
      </c>
      <c r="C10">
        <v>93.8</v>
      </c>
      <c r="D10">
        <v>1</v>
      </c>
      <c r="E10">
        <v>23</v>
      </c>
      <c r="F10">
        <v>95.7</v>
      </c>
      <c r="G10">
        <v>1</v>
      </c>
      <c r="H10">
        <f t="shared" si="0"/>
        <v>7</v>
      </c>
      <c r="J10">
        <f t="shared" si="0"/>
        <v>0</v>
      </c>
    </row>
    <row r="11" spans="1:10" x14ac:dyDescent="0.25">
      <c r="A11" t="s">
        <v>167</v>
      </c>
      <c r="B11">
        <v>30</v>
      </c>
      <c r="C11">
        <v>86.7</v>
      </c>
      <c r="D11">
        <v>4</v>
      </c>
      <c r="E11">
        <v>42</v>
      </c>
      <c r="F11">
        <v>88.1</v>
      </c>
      <c r="G11">
        <v>5</v>
      </c>
      <c r="H11">
        <f t="shared" si="0"/>
        <v>12</v>
      </c>
      <c r="J11">
        <f t="shared" si="0"/>
        <v>1</v>
      </c>
    </row>
    <row r="12" spans="1:10" x14ac:dyDescent="0.25">
      <c r="A12" t="s">
        <v>109</v>
      </c>
      <c r="B12">
        <v>31</v>
      </c>
      <c r="C12">
        <v>83.9</v>
      </c>
      <c r="D12">
        <v>4</v>
      </c>
      <c r="E12">
        <v>34</v>
      </c>
      <c r="F12">
        <v>85.3</v>
      </c>
      <c r="G12">
        <v>4</v>
      </c>
      <c r="H12">
        <f t="shared" si="0"/>
        <v>3</v>
      </c>
      <c r="J12">
        <f t="shared" si="0"/>
        <v>0</v>
      </c>
    </row>
    <row r="13" spans="1:10" x14ac:dyDescent="0.25">
      <c r="A13" t="s">
        <v>168</v>
      </c>
      <c r="B13">
        <v>28</v>
      </c>
      <c r="C13">
        <v>89.3</v>
      </c>
      <c r="D13">
        <v>3</v>
      </c>
      <c r="E13">
        <v>37</v>
      </c>
      <c r="F13">
        <v>89.2</v>
      </c>
      <c r="G13">
        <v>4</v>
      </c>
      <c r="H13">
        <f t="shared" si="0"/>
        <v>9</v>
      </c>
      <c r="J13">
        <f t="shared" si="0"/>
        <v>1</v>
      </c>
    </row>
    <row r="14" spans="1:10" x14ac:dyDescent="0.25">
      <c r="A14" t="s">
        <v>111</v>
      </c>
      <c r="B14">
        <v>46</v>
      </c>
      <c r="C14">
        <v>82.6</v>
      </c>
      <c r="D14">
        <v>8</v>
      </c>
      <c r="E14">
        <v>52</v>
      </c>
      <c r="F14">
        <v>84.6</v>
      </c>
      <c r="G14">
        <v>8</v>
      </c>
      <c r="H14">
        <f t="shared" si="0"/>
        <v>6</v>
      </c>
      <c r="J14">
        <f t="shared" si="0"/>
        <v>0</v>
      </c>
    </row>
    <row r="15" spans="1:10" x14ac:dyDescent="0.25">
      <c r="A15" t="s">
        <v>112</v>
      </c>
      <c r="B15">
        <v>20</v>
      </c>
      <c r="C15">
        <v>95</v>
      </c>
      <c r="D15">
        <v>1</v>
      </c>
      <c r="E15">
        <v>21</v>
      </c>
      <c r="F15">
        <v>95.2</v>
      </c>
      <c r="G15">
        <v>1</v>
      </c>
      <c r="H15">
        <f t="shared" si="0"/>
        <v>1</v>
      </c>
      <c r="J15">
        <f t="shared" si="0"/>
        <v>0</v>
      </c>
    </row>
    <row r="16" spans="1:10" x14ac:dyDescent="0.25">
      <c r="A16" t="s">
        <v>113</v>
      </c>
      <c r="B16">
        <v>42</v>
      </c>
      <c r="C16">
        <v>85.7</v>
      </c>
      <c r="D16">
        <v>6</v>
      </c>
      <c r="E16">
        <v>55</v>
      </c>
      <c r="F16">
        <v>89.1</v>
      </c>
      <c r="G16">
        <v>6</v>
      </c>
      <c r="H16">
        <f t="shared" si="0"/>
        <v>13</v>
      </c>
      <c r="I16">
        <f t="shared" ref="I16:I59" si="1">MAX(0, MAX(G16*7-E16, 30-E16))</f>
        <v>0</v>
      </c>
      <c r="J16">
        <f t="shared" si="0"/>
        <v>0</v>
      </c>
    </row>
    <row r="17" spans="1:10" x14ac:dyDescent="0.25">
      <c r="A17" t="s">
        <v>110</v>
      </c>
      <c r="B17">
        <v>20</v>
      </c>
      <c r="C17">
        <v>85</v>
      </c>
      <c r="D17">
        <v>3</v>
      </c>
      <c r="E17">
        <v>40</v>
      </c>
      <c r="F17">
        <v>87.5</v>
      </c>
      <c r="G17">
        <v>5</v>
      </c>
      <c r="H17">
        <f t="shared" si="0"/>
        <v>20</v>
      </c>
      <c r="I17">
        <f t="shared" si="1"/>
        <v>0</v>
      </c>
      <c r="J17">
        <f t="shared" si="0"/>
        <v>2</v>
      </c>
    </row>
    <row r="18" spans="1:10" x14ac:dyDescent="0.25">
      <c r="A18" t="s">
        <v>114</v>
      </c>
      <c r="B18">
        <v>18</v>
      </c>
      <c r="C18">
        <v>94.4</v>
      </c>
      <c r="D18">
        <v>1</v>
      </c>
      <c r="E18">
        <v>28</v>
      </c>
      <c r="F18">
        <v>96.4</v>
      </c>
      <c r="G18">
        <v>1</v>
      </c>
      <c r="H18">
        <f t="shared" si="0"/>
        <v>10</v>
      </c>
      <c r="I18">
        <f t="shared" si="1"/>
        <v>2</v>
      </c>
      <c r="J18">
        <f t="shared" si="0"/>
        <v>0</v>
      </c>
    </row>
    <row r="19" spans="1:10" x14ac:dyDescent="0.25">
      <c r="A19" t="s">
        <v>169</v>
      </c>
      <c r="B19">
        <v>19</v>
      </c>
      <c r="C19">
        <v>94.7</v>
      </c>
      <c r="D19">
        <v>1</v>
      </c>
      <c r="E19">
        <v>20</v>
      </c>
      <c r="F19">
        <v>95</v>
      </c>
      <c r="G19">
        <v>1</v>
      </c>
      <c r="H19">
        <f t="shared" si="0"/>
        <v>1</v>
      </c>
      <c r="I19">
        <f t="shared" si="1"/>
        <v>10</v>
      </c>
      <c r="J19">
        <f t="shared" si="0"/>
        <v>0</v>
      </c>
    </row>
    <row r="20" spans="1:10" x14ac:dyDescent="0.25">
      <c r="A20" t="s">
        <v>170</v>
      </c>
      <c r="B20">
        <v>22</v>
      </c>
      <c r="C20">
        <v>90.9</v>
      </c>
      <c r="D20">
        <v>2</v>
      </c>
      <c r="E20">
        <v>24</v>
      </c>
      <c r="F20">
        <v>91.7</v>
      </c>
      <c r="G20">
        <v>2</v>
      </c>
      <c r="H20">
        <f t="shared" si="0"/>
        <v>2</v>
      </c>
      <c r="I20">
        <f t="shared" si="1"/>
        <v>6</v>
      </c>
      <c r="J20">
        <f t="shared" si="0"/>
        <v>0</v>
      </c>
    </row>
    <row r="21" spans="1:10" x14ac:dyDescent="0.25">
      <c r="A21" t="s">
        <v>171</v>
      </c>
      <c r="B21">
        <v>22</v>
      </c>
      <c r="C21">
        <v>90.9</v>
      </c>
      <c r="D21">
        <v>2</v>
      </c>
      <c r="E21">
        <v>24</v>
      </c>
      <c r="F21">
        <v>91.7</v>
      </c>
      <c r="G21">
        <v>2</v>
      </c>
      <c r="H21">
        <f t="shared" si="0"/>
        <v>2</v>
      </c>
      <c r="I21">
        <f t="shared" si="1"/>
        <v>6</v>
      </c>
      <c r="J21">
        <f t="shared" si="0"/>
        <v>0</v>
      </c>
    </row>
    <row r="22" spans="1:10" x14ac:dyDescent="0.25">
      <c r="A22" t="s">
        <v>172</v>
      </c>
      <c r="B22">
        <v>21</v>
      </c>
      <c r="C22">
        <v>95.2</v>
      </c>
      <c r="D22">
        <v>1</v>
      </c>
      <c r="E22">
        <v>23</v>
      </c>
      <c r="F22">
        <v>95.7</v>
      </c>
      <c r="G22">
        <v>1</v>
      </c>
      <c r="H22">
        <f t="shared" si="0"/>
        <v>2</v>
      </c>
      <c r="I22">
        <f t="shared" si="1"/>
        <v>7</v>
      </c>
      <c r="J22">
        <f t="shared" si="0"/>
        <v>0</v>
      </c>
    </row>
    <row r="23" spans="1:10" x14ac:dyDescent="0.25">
      <c r="A23" t="s">
        <v>173</v>
      </c>
      <c r="B23">
        <v>19</v>
      </c>
      <c r="C23">
        <v>89.5</v>
      </c>
      <c r="D23">
        <v>2</v>
      </c>
      <c r="E23">
        <v>45</v>
      </c>
      <c r="F23">
        <v>86.7</v>
      </c>
      <c r="G23">
        <v>6</v>
      </c>
      <c r="H23">
        <f t="shared" si="0"/>
        <v>26</v>
      </c>
      <c r="I23">
        <f t="shared" si="1"/>
        <v>0</v>
      </c>
      <c r="J23">
        <f t="shared" si="0"/>
        <v>4</v>
      </c>
    </row>
    <row r="24" spans="1:10" x14ac:dyDescent="0.25">
      <c r="A24" t="s">
        <v>174</v>
      </c>
      <c r="B24">
        <v>25</v>
      </c>
      <c r="C24">
        <v>84</v>
      </c>
      <c r="D24">
        <v>4</v>
      </c>
      <c r="E24">
        <v>36</v>
      </c>
      <c r="F24">
        <v>88.9</v>
      </c>
      <c r="G24">
        <v>4</v>
      </c>
      <c r="H24">
        <f t="shared" si="0"/>
        <v>11</v>
      </c>
      <c r="I24">
        <f t="shared" si="1"/>
        <v>0</v>
      </c>
      <c r="J24">
        <f t="shared" si="0"/>
        <v>0</v>
      </c>
    </row>
    <row r="25" spans="1:10" x14ac:dyDescent="0.25">
      <c r="A25" t="s">
        <v>175</v>
      </c>
      <c r="B25">
        <v>45</v>
      </c>
      <c r="C25">
        <v>82.2</v>
      </c>
      <c r="D25">
        <v>8</v>
      </c>
      <c r="E25">
        <v>62</v>
      </c>
      <c r="F25">
        <v>87.1</v>
      </c>
      <c r="G25">
        <v>8</v>
      </c>
      <c r="H25">
        <f t="shared" si="0"/>
        <v>17</v>
      </c>
      <c r="I25">
        <f t="shared" si="1"/>
        <v>0</v>
      </c>
      <c r="J25">
        <f t="shared" si="0"/>
        <v>0</v>
      </c>
    </row>
    <row r="26" spans="1:10" x14ac:dyDescent="0.25">
      <c r="A26" t="s">
        <v>176</v>
      </c>
      <c r="B26">
        <v>34</v>
      </c>
      <c r="C26">
        <v>91.2</v>
      </c>
      <c r="D26">
        <v>2</v>
      </c>
      <c r="E26">
        <v>39</v>
      </c>
      <c r="F26">
        <v>92.3</v>
      </c>
      <c r="G26">
        <v>2</v>
      </c>
      <c r="H26">
        <f t="shared" si="0"/>
        <v>5</v>
      </c>
      <c r="I26">
        <f t="shared" si="1"/>
        <v>0</v>
      </c>
      <c r="J26">
        <f t="shared" si="0"/>
        <v>0</v>
      </c>
    </row>
    <row r="27" spans="1:10" x14ac:dyDescent="0.25">
      <c r="A27" t="s">
        <v>177</v>
      </c>
      <c r="B27">
        <v>72</v>
      </c>
      <c r="C27">
        <v>83.3</v>
      </c>
      <c r="D27">
        <v>12</v>
      </c>
      <c r="E27">
        <v>108</v>
      </c>
      <c r="F27">
        <v>87</v>
      </c>
      <c r="G27">
        <v>14</v>
      </c>
      <c r="H27">
        <f t="shared" si="0"/>
        <v>36</v>
      </c>
      <c r="I27">
        <f t="shared" si="1"/>
        <v>0</v>
      </c>
      <c r="J27">
        <f t="shared" si="0"/>
        <v>2</v>
      </c>
    </row>
    <row r="28" spans="1:10" x14ac:dyDescent="0.25">
      <c r="A28" t="s">
        <v>178</v>
      </c>
      <c r="B28">
        <v>21</v>
      </c>
      <c r="C28">
        <v>85.7</v>
      </c>
      <c r="D28">
        <v>3</v>
      </c>
      <c r="E28">
        <v>41</v>
      </c>
      <c r="F28">
        <v>92.7</v>
      </c>
      <c r="G28">
        <v>3</v>
      </c>
      <c r="H28">
        <f t="shared" si="0"/>
        <v>20</v>
      </c>
      <c r="I28">
        <f t="shared" si="1"/>
        <v>0</v>
      </c>
      <c r="J28">
        <f t="shared" si="0"/>
        <v>0</v>
      </c>
    </row>
    <row r="29" spans="1:10" x14ac:dyDescent="0.25">
      <c r="A29" s="2" t="s">
        <v>179</v>
      </c>
      <c r="B29">
        <v>23</v>
      </c>
      <c r="C29">
        <v>82.6</v>
      </c>
      <c r="D29">
        <v>2</v>
      </c>
      <c r="E29">
        <v>44</v>
      </c>
      <c r="F29">
        <v>86.4</v>
      </c>
      <c r="G29">
        <v>4</v>
      </c>
      <c r="H29">
        <f t="shared" si="0"/>
        <v>21</v>
      </c>
      <c r="I29">
        <f t="shared" si="1"/>
        <v>0</v>
      </c>
      <c r="J29">
        <f t="shared" si="0"/>
        <v>2</v>
      </c>
    </row>
    <row r="30" spans="1:10" x14ac:dyDescent="0.25">
      <c r="A30" t="s">
        <v>180</v>
      </c>
      <c r="B30">
        <v>22</v>
      </c>
      <c r="C30">
        <v>90.9</v>
      </c>
      <c r="D30">
        <v>2</v>
      </c>
      <c r="E30">
        <v>37</v>
      </c>
      <c r="F30">
        <v>94.6</v>
      </c>
      <c r="G30">
        <v>2</v>
      </c>
      <c r="H30">
        <f t="shared" si="0"/>
        <v>15</v>
      </c>
      <c r="I30">
        <f t="shared" si="1"/>
        <v>0</v>
      </c>
      <c r="J30">
        <f t="shared" si="0"/>
        <v>0</v>
      </c>
    </row>
    <row r="31" spans="1:10" x14ac:dyDescent="0.25">
      <c r="A31" t="s">
        <v>181</v>
      </c>
      <c r="B31">
        <v>22</v>
      </c>
      <c r="C31">
        <v>86.4</v>
      </c>
      <c r="D31">
        <v>3</v>
      </c>
      <c r="E31">
        <v>33</v>
      </c>
      <c r="F31">
        <v>90.9</v>
      </c>
      <c r="G31">
        <v>3</v>
      </c>
      <c r="H31">
        <f t="shared" ref="H31:H57" si="2">E31-B31</f>
        <v>11</v>
      </c>
      <c r="I31">
        <f t="shared" si="1"/>
        <v>0</v>
      </c>
      <c r="J31">
        <f t="shared" ref="J31:J57" si="3">G31-D31</f>
        <v>0</v>
      </c>
    </row>
    <row r="32" spans="1:10" x14ac:dyDescent="0.25">
      <c r="A32" t="s">
        <v>182</v>
      </c>
      <c r="B32">
        <v>24</v>
      </c>
      <c r="C32">
        <v>91.7</v>
      </c>
      <c r="D32">
        <v>2</v>
      </c>
      <c r="E32">
        <v>36</v>
      </c>
      <c r="F32">
        <v>91.7</v>
      </c>
      <c r="G32">
        <v>3</v>
      </c>
      <c r="H32">
        <f t="shared" si="2"/>
        <v>12</v>
      </c>
      <c r="I32">
        <f t="shared" si="1"/>
        <v>0</v>
      </c>
      <c r="J32">
        <f t="shared" si="3"/>
        <v>1</v>
      </c>
    </row>
    <row r="33" spans="1:10" x14ac:dyDescent="0.25">
      <c r="A33" s="2" t="s">
        <v>115</v>
      </c>
      <c r="B33">
        <v>46</v>
      </c>
      <c r="C33">
        <v>82.6</v>
      </c>
      <c r="D33">
        <v>8</v>
      </c>
      <c r="E33">
        <v>78</v>
      </c>
      <c r="F33">
        <v>87.2</v>
      </c>
      <c r="G33">
        <v>10</v>
      </c>
      <c r="H33">
        <f t="shared" si="2"/>
        <v>32</v>
      </c>
      <c r="I33">
        <f t="shared" si="1"/>
        <v>0</v>
      </c>
      <c r="J33">
        <f t="shared" si="3"/>
        <v>2</v>
      </c>
    </row>
    <row r="34" spans="1:10" x14ac:dyDescent="0.25">
      <c r="A34" t="s">
        <v>183</v>
      </c>
      <c r="B34">
        <v>23</v>
      </c>
      <c r="C34">
        <v>95.7</v>
      </c>
      <c r="D34">
        <v>1</v>
      </c>
      <c r="E34">
        <v>34</v>
      </c>
      <c r="F34">
        <v>97.1</v>
      </c>
      <c r="G34">
        <v>1</v>
      </c>
      <c r="H34">
        <f t="shared" si="2"/>
        <v>11</v>
      </c>
      <c r="I34">
        <f t="shared" si="1"/>
        <v>0</v>
      </c>
      <c r="J34">
        <f t="shared" si="3"/>
        <v>0</v>
      </c>
    </row>
    <row r="35" spans="1:10" x14ac:dyDescent="0.25">
      <c r="A35" t="s">
        <v>184</v>
      </c>
      <c r="B35">
        <v>19</v>
      </c>
      <c r="C35">
        <v>100</v>
      </c>
      <c r="D35">
        <v>0</v>
      </c>
      <c r="E35">
        <v>36</v>
      </c>
      <c r="F35">
        <v>100</v>
      </c>
      <c r="G35">
        <v>0</v>
      </c>
      <c r="H35">
        <f t="shared" si="2"/>
        <v>17</v>
      </c>
      <c r="I35">
        <f t="shared" si="1"/>
        <v>0</v>
      </c>
      <c r="J35">
        <f t="shared" si="3"/>
        <v>0</v>
      </c>
    </row>
    <row r="36" spans="1:10" x14ac:dyDescent="0.25">
      <c r="A36" t="s">
        <v>74</v>
      </c>
      <c r="B36">
        <v>27</v>
      </c>
      <c r="C36">
        <v>85.2</v>
      </c>
      <c r="D36">
        <v>4</v>
      </c>
      <c r="E36">
        <v>43</v>
      </c>
      <c r="F36">
        <v>88.4</v>
      </c>
      <c r="G36">
        <v>5</v>
      </c>
      <c r="H36">
        <f t="shared" si="2"/>
        <v>16</v>
      </c>
      <c r="I36">
        <f t="shared" si="1"/>
        <v>0</v>
      </c>
      <c r="J36">
        <f t="shared" si="3"/>
        <v>1</v>
      </c>
    </row>
    <row r="37" spans="1:10" x14ac:dyDescent="0.25">
      <c r="A37" s="2" t="s">
        <v>185</v>
      </c>
      <c r="B37">
        <v>42</v>
      </c>
      <c r="C37">
        <v>81</v>
      </c>
      <c r="D37">
        <v>8</v>
      </c>
      <c r="E37">
        <v>91</v>
      </c>
      <c r="F37">
        <v>89</v>
      </c>
      <c r="G37">
        <v>10</v>
      </c>
      <c r="H37">
        <f t="shared" si="2"/>
        <v>49</v>
      </c>
      <c r="I37">
        <f t="shared" si="1"/>
        <v>0</v>
      </c>
      <c r="J37">
        <f t="shared" si="3"/>
        <v>2</v>
      </c>
    </row>
    <row r="38" spans="1:10" x14ac:dyDescent="0.25">
      <c r="A38" s="2" t="s">
        <v>186</v>
      </c>
      <c r="B38">
        <v>24</v>
      </c>
      <c r="C38">
        <v>83.3</v>
      </c>
      <c r="D38">
        <v>4</v>
      </c>
      <c r="E38">
        <v>65</v>
      </c>
      <c r="F38">
        <v>87.7</v>
      </c>
      <c r="G38">
        <v>8</v>
      </c>
      <c r="H38">
        <f t="shared" si="2"/>
        <v>41</v>
      </c>
      <c r="I38">
        <f t="shared" si="1"/>
        <v>0</v>
      </c>
      <c r="J38">
        <f t="shared" si="3"/>
        <v>4</v>
      </c>
    </row>
    <row r="39" spans="1:10" x14ac:dyDescent="0.25">
      <c r="A39" s="2" t="s">
        <v>187</v>
      </c>
      <c r="B39">
        <v>53</v>
      </c>
      <c r="C39">
        <v>83</v>
      </c>
      <c r="D39">
        <v>9</v>
      </c>
      <c r="E39">
        <v>113</v>
      </c>
      <c r="F39">
        <v>85</v>
      </c>
      <c r="G39">
        <v>17</v>
      </c>
      <c r="H39">
        <f t="shared" si="2"/>
        <v>60</v>
      </c>
      <c r="I39">
        <f t="shared" si="1"/>
        <v>6</v>
      </c>
      <c r="J39">
        <f t="shared" si="3"/>
        <v>8</v>
      </c>
    </row>
    <row r="40" spans="1:10" x14ac:dyDescent="0.25">
      <c r="A40" t="s">
        <v>188</v>
      </c>
      <c r="B40">
        <v>20</v>
      </c>
      <c r="C40">
        <v>100</v>
      </c>
      <c r="D40">
        <v>0</v>
      </c>
      <c r="E40">
        <v>36</v>
      </c>
      <c r="F40">
        <v>100</v>
      </c>
      <c r="G40">
        <v>0</v>
      </c>
      <c r="H40">
        <f t="shared" si="2"/>
        <v>16</v>
      </c>
      <c r="I40">
        <f t="shared" si="1"/>
        <v>0</v>
      </c>
      <c r="J40">
        <f t="shared" si="3"/>
        <v>0</v>
      </c>
    </row>
    <row r="41" spans="1:10" x14ac:dyDescent="0.25">
      <c r="A41" t="s">
        <v>189</v>
      </c>
      <c r="B41">
        <v>30</v>
      </c>
      <c r="C41">
        <v>83.3</v>
      </c>
      <c r="D41">
        <v>5</v>
      </c>
      <c r="E41">
        <v>83</v>
      </c>
      <c r="F41">
        <v>86.8</v>
      </c>
      <c r="G41">
        <v>11</v>
      </c>
      <c r="H41">
        <f t="shared" si="2"/>
        <v>53</v>
      </c>
      <c r="I41">
        <f t="shared" si="1"/>
        <v>0</v>
      </c>
      <c r="J41">
        <f t="shared" si="3"/>
        <v>6</v>
      </c>
    </row>
    <row r="42" spans="1:10" x14ac:dyDescent="0.25">
      <c r="A42" t="s">
        <v>190</v>
      </c>
      <c r="B42">
        <v>30</v>
      </c>
      <c r="C42">
        <v>83.3</v>
      </c>
      <c r="D42">
        <v>5</v>
      </c>
      <c r="E42">
        <v>40</v>
      </c>
      <c r="F42">
        <v>87.5</v>
      </c>
      <c r="G42">
        <v>5</v>
      </c>
      <c r="H42">
        <f t="shared" si="2"/>
        <v>10</v>
      </c>
      <c r="I42">
        <f t="shared" si="1"/>
        <v>0</v>
      </c>
      <c r="J42">
        <f t="shared" si="3"/>
        <v>0</v>
      </c>
    </row>
    <row r="43" spans="1:10" x14ac:dyDescent="0.25">
      <c r="A43" t="s">
        <v>191</v>
      </c>
      <c r="B43">
        <v>27</v>
      </c>
      <c r="C43">
        <v>85.2</v>
      </c>
      <c r="D43">
        <v>3</v>
      </c>
      <c r="E43">
        <v>39</v>
      </c>
      <c r="F43">
        <v>89.7</v>
      </c>
      <c r="G43">
        <v>3</v>
      </c>
      <c r="H43">
        <f t="shared" si="2"/>
        <v>12</v>
      </c>
      <c r="I43">
        <f t="shared" si="1"/>
        <v>0</v>
      </c>
      <c r="J43">
        <f t="shared" si="3"/>
        <v>0</v>
      </c>
    </row>
    <row r="44" spans="1:10" x14ac:dyDescent="0.25">
      <c r="A44" t="s">
        <v>192</v>
      </c>
      <c r="B44">
        <v>27</v>
      </c>
      <c r="C44">
        <v>88.9</v>
      </c>
      <c r="D44">
        <v>3</v>
      </c>
      <c r="E44">
        <v>39</v>
      </c>
      <c r="F44">
        <v>89.7</v>
      </c>
      <c r="G44">
        <v>4</v>
      </c>
      <c r="H44">
        <f t="shared" si="2"/>
        <v>12</v>
      </c>
      <c r="I44">
        <f t="shared" si="1"/>
        <v>0</v>
      </c>
      <c r="J44">
        <f t="shared" si="3"/>
        <v>1</v>
      </c>
    </row>
    <row r="45" spans="1:10" x14ac:dyDescent="0.25">
      <c r="A45" t="s">
        <v>122</v>
      </c>
      <c r="B45">
        <v>29</v>
      </c>
      <c r="C45">
        <v>82.8</v>
      </c>
      <c r="D45">
        <v>5</v>
      </c>
      <c r="E45">
        <v>34</v>
      </c>
      <c r="F45">
        <v>85.3</v>
      </c>
      <c r="G45">
        <v>5</v>
      </c>
      <c r="H45">
        <f t="shared" si="2"/>
        <v>5</v>
      </c>
      <c r="I45">
        <f t="shared" si="1"/>
        <v>1</v>
      </c>
      <c r="J45">
        <f t="shared" si="3"/>
        <v>0</v>
      </c>
    </row>
    <row r="46" spans="1:10" x14ac:dyDescent="0.25">
      <c r="A46" t="s">
        <v>193</v>
      </c>
      <c r="B46">
        <v>32</v>
      </c>
      <c r="C46">
        <v>84.4</v>
      </c>
      <c r="D46">
        <v>5</v>
      </c>
      <c r="E46">
        <v>32</v>
      </c>
      <c r="F46">
        <v>84.4</v>
      </c>
      <c r="G46">
        <v>5</v>
      </c>
      <c r="H46">
        <f t="shared" si="2"/>
        <v>0</v>
      </c>
      <c r="I46">
        <f t="shared" si="1"/>
        <v>3</v>
      </c>
      <c r="J46">
        <f t="shared" si="3"/>
        <v>0</v>
      </c>
    </row>
    <row r="47" spans="1:10" x14ac:dyDescent="0.25">
      <c r="A47" t="s">
        <v>16</v>
      </c>
      <c r="B47">
        <v>92</v>
      </c>
      <c r="C47">
        <v>81.5</v>
      </c>
      <c r="D47">
        <v>17</v>
      </c>
      <c r="E47">
        <v>142</v>
      </c>
      <c r="F47">
        <v>85.2</v>
      </c>
      <c r="G47">
        <v>21</v>
      </c>
      <c r="H47">
        <f t="shared" si="2"/>
        <v>50</v>
      </c>
      <c r="I47">
        <f t="shared" si="1"/>
        <v>5</v>
      </c>
      <c r="J47">
        <f t="shared" si="3"/>
        <v>4</v>
      </c>
    </row>
    <row r="48" spans="1:10" x14ac:dyDescent="0.25">
      <c r="A48" t="s">
        <v>125</v>
      </c>
      <c r="B48">
        <v>38</v>
      </c>
      <c r="C48">
        <v>86.8</v>
      </c>
      <c r="D48">
        <v>5</v>
      </c>
      <c r="E48">
        <v>65</v>
      </c>
      <c r="F48">
        <v>87.7</v>
      </c>
      <c r="G48">
        <v>8</v>
      </c>
      <c r="H48">
        <f t="shared" si="2"/>
        <v>27</v>
      </c>
      <c r="I48">
        <f t="shared" si="1"/>
        <v>0</v>
      </c>
      <c r="J48">
        <f t="shared" si="3"/>
        <v>3</v>
      </c>
    </row>
    <row r="49" spans="1:10" x14ac:dyDescent="0.25">
      <c r="A49" t="s">
        <v>126</v>
      </c>
      <c r="B49">
        <v>24</v>
      </c>
      <c r="C49">
        <v>91.7</v>
      </c>
      <c r="D49">
        <v>2</v>
      </c>
      <c r="E49">
        <v>45</v>
      </c>
      <c r="F49">
        <v>88.9</v>
      </c>
      <c r="G49">
        <v>5</v>
      </c>
      <c r="H49">
        <f t="shared" si="2"/>
        <v>21</v>
      </c>
      <c r="I49">
        <f t="shared" si="1"/>
        <v>0</v>
      </c>
      <c r="J49">
        <f t="shared" si="3"/>
        <v>3</v>
      </c>
    </row>
    <row r="50" spans="1:10" x14ac:dyDescent="0.25">
      <c r="A50" t="s">
        <v>194</v>
      </c>
      <c r="B50">
        <v>45</v>
      </c>
      <c r="C50">
        <v>82.2</v>
      </c>
      <c r="D50">
        <v>8</v>
      </c>
      <c r="E50">
        <v>61</v>
      </c>
      <c r="F50">
        <v>83.6</v>
      </c>
      <c r="G50">
        <v>10</v>
      </c>
      <c r="H50">
        <f t="shared" si="2"/>
        <v>16</v>
      </c>
      <c r="I50">
        <f t="shared" si="1"/>
        <v>9</v>
      </c>
      <c r="J50">
        <f t="shared" si="3"/>
        <v>2</v>
      </c>
    </row>
    <row r="51" spans="1:10" x14ac:dyDescent="0.25">
      <c r="A51" t="s">
        <v>195</v>
      </c>
      <c r="B51">
        <v>33</v>
      </c>
      <c r="C51">
        <v>84.9</v>
      </c>
      <c r="D51">
        <v>5</v>
      </c>
      <c r="E51">
        <v>49</v>
      </c>
      <c r="F51">
        <v>81.599999999999994</v>
      </c>
      <c r="G51">
        <v>9</v>
      </c>
      <c r="H51">
        <f t="shared" si="2"/>
        <v>16</v>
      </c>
      <c r="I51">
        <f t="shared" si="1"/>
        <v>14</v>
      </c>
      <c r="J51">
        <f t="shared" si="3"/>
        <v>4</v>
      </c>
    </row>
    <row r="52" spans="1:10" x14ac:dyDescent="0.25">
      <c r="A52" t="s">
        <v>196</v>
      </c>
      <c r="B52">
        <v>159</v>
      </c>
      <c r="C52">
        <v>81.099999999999994</v>
      </c>
      <c r="D52">
        <v>30</v>
      </c>
      <c r="E52">
        <v>232</v>
      </c>
      <c r="F52">
        <v>81.5</v>
      </c>
      <c r="G52">
        <v>43</v>
      </c>
      <c r="H52">
        <f t="shared" si="2"/>
        <v>73</v>
      </c>
      <c r="I52">
        <f>MAX(0, MAX(G52*6-E52, 30-E52))</f>
        <v>26</v>
      </c>
      <c r="J52">
        <f t="shared" si="3"/>
        <v>13</v>
      </c>
    </row>
    <row r="53" spans="1:10" x14ac:dyDescent="0.25">
      <c r="A53" t="s">
        <v>197</v>
      </c>
      <c r="B53">
        <v>39</v>
      </c>
      <c r="C53">
        <v>89.7</v>
      </c>
      <c r="D53">
        <v>4</v>
      </c>
      <c r="E53">
        <v>49</v>
      </c>
      <c r="F53">
        <v>89.8</v>
      </c>
      <c r="G53">
        <v>5</v>
      </c>
      <c r="H53">
        <f t="shared" si="2"/>
        <v>10</v>
      </c>
      <c r="I53">
        <f t="shared" si="1"/>
        <v>0</v>
      </c>
      <c r="J53">
        <f t="shared" si="3"/>
        <v>1</v>
      </c>
    </row>
    <row r="54" spans="1:10" x14ac:dyDescent="0.25">
      <c r="A54" t="s">
        <v>116</v>
      </c>
      <c r="B54">
        <v>18</v>
      </c>
      <c r="C54">
        <v>88.9</v>
      </c>
      <c r="D54">
        <v>2</v>
      </c>
      <c r="E54">
        <v>24</v>
      </c>
      <c r="F54">
        <v>87.5</v>
      </c>
      <c r="G54">
        <v>3</v>
      </c>
      <c r="H54">
        <f t="shared" si="2"/>
        <v>6</v>
      </c>
      <c r="I54">
        <f t="shared" si="1"/>
        <v>6</v>
      </c>
      <c r="J54">
        <f t="shared" si="3"/>
        <v>1</v>
      </c>
    </row>
    <row r="55" spans="1:10" x14ac:dyDescent="0.25">
      <c r="A55" t="s">
        <v>198</v>
      </c>
      <c r="B55">
        <v>27</v>
      </c>
      <c r="C55">
        <v>92.6</v>
      </c>
      <c r="D55">
        <v>2</v>
      </c>
      <c r="E55">
        <v>28</v>
      </c>
      <c r="F55">
        <v>92.9</v>
      </c>
      <c r="G55">
        <v>2</v>
      </c>
      <c r="H55">
        <f t="shared" si="2"/>
        <v>1</v>
      </c>
      <c r="I55">
        <f t="shared" si="1"/>
        <v>2</v>
      </c>
      <c r="J55">
        <f t="shared" si="3"/>
        <v>0</v>
      </c>
    </row>
    <row r="56" spans="1:10" x14ac:dyDescent="0.25">
      <c r="A56" t="s">
        <v>117</v>
      </c>
      <c r="B56">
        <v>30</v>
      </c>
      <c r="C56">
        <v>86.7</v>
      </c>
      <c r="D56">
        <v>4</v>
      </c>
      <c r="E56">
        <v>35</v>
      </c>
      <c r="F56">
        <v>88.6</v>
      </c>
      <c r="G56">
        <v>4</v>
      </c>
      <c r="H56">
        <f t="shared" si="2"/>
        <v>5</v>
      </c>
      <c r="I56">
        <f t="shared" si="1"/>
        <v>0</v>
      </c>
      <c r="J56">
        <f t="shared" si="3"/>
        <v>0</v>
      </c>
    </row>
    <row r="57" spans="1:10" x14ac:dyDescent="0.25">
      <c r="A57" t="s">
        <v>118</v>
      </c>
      <c r="B57">
        <v>261</v>
      </c>
      <c r="C57">
        <v>74.7</v>
      </c>
      <c r="D57">
        <v>66</v>
      </c>
      <c r="E57">
        <v>289</v>
      </c>
      <c r="F57">
        <v>75.099999999999994</v>
      </c>
      <c r="G57">
        <v>72</v>
      </c>
      <c r="H57">
        <f t="shared" si="2"/>
        <v>28</v>
      </c>
      <c r="I57">
        <f>MAX(0, MAX(G57*5-E57, 30-E57))</f>
        <v>71</v>
      </c>
      <c r="J57">
        <f t="shared" si="3"/>
        <v>6</v>
      </c>
    </row>
    <row r="58" spans="1:10" x14ac:dyDescent="0.25">
      <c r="A58" t="s">
        <v>199</v>
      </c>
      <c r="B58">
        <v>116</v>
      </c>
      <c r="C58">
        <v>83.6</v>
      </c>
      <c r="D58">
        <v>19</v>
      </c>
      <c r="E58">
        <v>146</v>
      </c>
      <c r="F58">
        <v>82.9</v>
      </c>
      <c r="G58">
        <v>25</v>
      </c>
      <c r="H58">
        <f t="shared" ref="H58:H59" si="4">E58-B58</f>
        <v>30</v>
      </c>
      <c r="I58">
        <f t="shared" si="1"/>
        <v>29</v>
      </c>
      <c r="J58">
        <f t="shared" ref="J58:J59" si="5">G58-D58</f>
        <v>6</v>
      </c>
    </row>
    <row r="59" spans="1:10" x14ac:dyDescent="0.25">
      <c r="A59" t="s">
        <v>200</v>
      </c>
      <c r="B59">
        <v>32</v>
      </c>
      <c r="C59">
        <v>87.5</v>
      </c>
      <c r="D59">
        <v>4</v>
      </c>
      <c r="E59">
        <v>32</v>
      </c>
      <c r="F59">
        <v>87.5</v>
      </c>
      <c r="G59">
        <v>4</v>
      </c>
      <c r="H59">
        <f t="shared" si="4"/>
        <v>0</v>
      </c>
      <c r="I59">
        <f t="shared" si="1"/>
        <v>0</v>
      </c>
      <c r="J59">
        <f t="shared" si="5"/>
        <v>0</v>
      </c>
    </row>
    <row r="61" spans="1:10" x14ac:dyDescent="0.25">
      <c r="E61">
        <f>SUM(E2:E59)</f>
        <v>3070</v>
      </c>
      <c r="H61">
        <f>SUM(H2:H59)</f>
        <v>929</v>
      </c>
      <c r="I61">
        <f>SUM(I2:I59)</f>
        <v>203</v>
      </c>
    </row>
  </sheetData>
  <autoFilter ref="A1:J1" xr:uid="{7426B76C-D534-44D5-8BA5-0757F9391933}"/>
  <conditionalFormatting sqref="A1">
    <cfRule type="cellIs" dxfId="25" priority="37" operator="lessThan">
      <formula>20</formula>
    </cfRule>
  </conditionalFormatting>
  <conditionalFormatting sqref="C2:C59">
    <cfRule type="top10" dxfId="24" priority="13" percent="1" bottom="1" rank="10"/>
  </conditionalFormatting>
  <conditionalFormatting sqref="E1">
    <cfRule type="cellIs" dxfId="23" priority="36" operator="lessThan">
      <formula>85</formula>
    </cfRule>
  </conditionalFormatting>
  <conditionalFormatting sqref="F1 F60:F1048576">
    <cfRule type="top10" dxfId="22" priority="22" percent="1" bottom="1" rank="10"/>
  </conditionalFormatting>
  <conditionalFormatting sqref="F2:F59">
    <cfRule type="top10" dxfId="21" priority="17" percent="1" bottom="1" rank="10"/>
  </conditionalFormatting>
  <conditionalFormatting sqref="G2:G59">
    <cfRule type="top10" dxfId="20" priority="11" percent="1" rank="10"/>
  </conditionalFormatting>
  <conditionalFormatting sqref="I1 I60 I62:I1048576">
    <cfRule type="top10" dxfId="19" priority="21" percent="1" rank="10"/>
  </conditionalFormatting>
  <conditionalFormatting sqref="I2:I59">
    <cfRule type="top10" dxfId="18" priority="1" percent="1" rank="10"/>
  </conditionalFormatting>
  <conditionalFormatting sqref="J1 J60:J1048576">
    <cfRule type="top10" dxfId="17" priority="24" percent="1" rank="10"/>
  </conditionalFormatting>
  <conditionalFormatting sqref="J2:J59">
    <cfRule type="top10" dxfId="16" priority="15" percent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B052-CDCD-4023-9CE1-8CBEBF31A19C}">
  <dimension ref="A1:J37"/>
  <sheetViews>
    <sheetView zoomScale="145" zoomScaleNormal="145" workbookViewId="0">
      <pane ySplit="1" topLeftCell="A2" activePane="bottomLeft" state="frozen"/>
      <selection pane="bottomLeft" activeCell="E26" sqref="E26"/>
    </sheetView>
  </sheetViews>
  <sheetFormatPr defaultRowHeight="15" x14ac:dyDescent="0.25"/>
  <cols>
    <col min="1" max="1" width="35" bestFit="1" customWidth="1"/>
  </cols>
  <sheetData>
    <row r="1" spans="1:10" x14ac:dyDescent="0.25">
      <c r="A1" s="1" t="s">
        <v>201</v>
      </c>
      <c r="B1" s="1" t="s">
        <v>1</v>
      </c>
      <c r="C1" s="1" t="s">
        <v>2</v>
      </c>
      <c r="D1" s="1" t="s">
        <v>59</v>
      </c>
      <c r="E1" s="1" t="s">
        <v>1</v>
      </c>
      <c r="F1" s="1" t="s">
        <v>2</v>
      </c>
      <c r="G1" s="1" t="s">
        <v>59</v>
      </c>
      <c r="H1" s="1" t="s">
        <v>154</v>
      </c>
      <c r="I1" s="1" t="s">
        <v>156</v>
      </c>
      <c r="J1" s="1" t="s">
        <v>155</v>
      </c>
    </row>
    <row r="2" spans="1:10" x14ac:dyDescent="0.25">
      <c r="A2" s="2" t="s">
        <v>60</v>
      </c>
      <c r="B2">
        <v>27</v>
      </c>
      <c r="C2">
        <v>96.3</v>
      </c>
      <c r="D2">
        <v>1</v>
      </c>
      <c r="E2">
        <v>27</v>
      </c>
      <c r="F2">
        <v>96.3</v>
      </c>
      <c r="G2">
        <v>1</v>
      </c>
      <c r="H2">
        <f t="shared" ref="H2:J30" si="0">E2-B2</f>
        <v>0</v>
      </c>
      <c r="I2">
        <f t="shared" ref="I2:I8" si="1">MAX(0, MAX(G2*6-E2, 30-E2))</f>
        <v>3</v>
      </c>
      <c r="J2">
        <f>G2-D2</f>
        <v>0</v>
      </c>
    </row>
    <row r="3" spans="1:10" x14ac:dyDescent="0.25">
      <c r="A3" s="2" t="s">
        <v>61</v>
      </c>
      <c r="B3">
        <v>62</v>
      </c>
      <c r="C3">
        <v>87.1</v>
      </c>
      <c r="D3">
        <v>8</v>
      </c>
      <c r="E3">
        <v>63</v>
      </c>
      <c r="F3">
        <v>87.3</v>
      </c>
      <c r="G3">
        <v>8</v>
      </c>
      <c r="H3">
        <f t="shared" si="0"/>
        <v>1</v>
      </c>
      <c r="I3">
        <f t="shared" si="1"/>
        <v>0</v>
      </c>
      <c r="J3">
        <f t="shared" si="0"/>
        <v>0</v>
      </c>
    </row>
    <row r="4" spans="1:10" x14ac:dyDescent="0.25">
      <c r="A4" s="2" t="s">
        <v>62</v>
      </c>
      <c r="B4">
        <v>120</v>
      </c>
      <c r="C4">
        <v>90.8</v>
      </c>
      <c r="D4">
        <v>11</v>
      </c>
      <c r="E4">
        <v>120</v>
      </c>
      <c r="F4">
        <v>90.8</v>
      </c>
      <c r="G4">
        <v>11</v>
      </c>
      <c r="H4">
        <f t="shared" si="0"/>
        <v>0</v>
      </c>
      <c r="I4">
        <f t="shared" si="1"/>
        <v>0</v>
      </c>
      <c r="J4">
        <f t="shared" si="0"/>
        <v>0</v>
      </c>
    </row>
    <row r="5" spans="1:10" s="2" customFormat="1" x14ac:dyDescent="0.25">
      <c r="A5" s="2" t="s">
        <v>63</v>
      </c>
      <c r="B5" s="2">
        <v>32</v>
      </c>
      <c r="C5" s="2">
        <v>87.5</v>
      </c>
      <c r="D5" s="2">
        <v>4</v>
      </c>
      <c r="E5" s="2">
        <v>32</v>
      </c>
      <c r="F5" s="2">
        <v>87.5</v>
      </c>
      <c r="G5" s="2">
        <v>4</v>
      </c>
      <c r="H5" s="2">
        <f t="shared" si="0"/>
        <v>0</v>
      </c>
      <c r="I5">
        <f t="shared" si="1"/>
        <v>0</v>
      </c>
      <c r="J5" s="2">
        <f t="shared" si="0"/>
        <v>0</v>
      </c>
    </row>
    <row r="6" spans="1:10" s="2" customFormat="1" x14ac:dyDescent="0.25">
      <c r="A6" s="2" t="s">
        <v>64</v>
      </c>
      <c r="B6" s="2">
        <v>29</v>
      </c>
      <c r="C6" s="2">
        <v>100</v>
      </c>
      <c r="D6" s="2">
        <v>0</v>
      </c>
      <c r="E6" s="2">
        <v>29</v>
      </c>
      <c r="F6" s="2">
        <v>100</v>
      </c>
      <c r="G6" s="2">
        <v>0</v>
      </c>
      <c r="H6" s="2">
        <f t="shared" si="0"/>
        <v>0</v>
      </c>
      <c r="I6">
        <f t="shared" si="1"/>
        <v>1</v>
      </c>
      <c r="J6" s="2">
        <f t="shared" si="0"/>
        <v>0</v>
      </c>
    </row>
    <row r="7" spans="1:10" x14ac:dyDescent="0.25">
      <c r="A7" s="2" t="s">
        <v>65</v>
      </c>
      <c r="B7">
        <v>82</v>
      </c>
      <c r="C7">
        <v>85.4</v>
      </c>
      <c r="D7">
        <v>12</v>
      </c>
      <c r="E7">
        <v>82</v>
      </c>
      <c r="F7">
        <v>85.4</v>
      </c>
      <c r="G7">
        <v>12</v>
      </c>
      <c r="H7">
        <f t="shared" si="0"/>
        <v>0</v>
      </c>
      <c r="I7">
        <f t="shared" si="1"/>
        <v>0</v>
      </c>
      <c r="J7">
        <f t="shared" si="0"/>
        <v>0</v>
      </c>
    </row>
    <row r="8" spans="1:10" s="2" customFormat="1" x14ac:dyDescent="0.25">
      <c r="A8" s="2" t="s">
        <v>66</v>
      </c>
      <c r="B8" s="2">
        <v>43</v>
      </c>
      <c r="C8" s="2">
        <v>83.7</v>
      </c>
      <c r="D8" s="2">
        <v>7</v>
      </c>
      <c r="E8" s="2">
        <v>43</v>
      </c>
      <c r="F8" s="2">
        <v>83.7</v>
      </c>
      <c r="G8" s="2">
        <v>7</v>
      </c>
      <c r="H8" s="2">
        <f t="shared" si="0"/>
        <v>0</v>
      </c>
      <c r="I8">
        <f t="shared" si="1"/>
        <v>0</v>
      </c>
      <c r="J8" s="2">
        <f t="shared" si="0"/>
        <v>0</v>
      </c>
    </row>
    <row r="9" spans="1:10" x14ac:dyDescent="0.25">
      <c r="A9" s="2" t="s">
        <v>67</v>
      </c>
      <c r="B9">
        <v>157</v>
      </c>
      <c r="C9">
        <v>89.2</v>
      </c>
      <c r="D9">
        <v>16</v>
      </c>
      <c r="E9">
        <v>157</v>
      </c>
      <c r="F9">
        <v>89.2</v>
      </c>
      <c r="G9">
        <v>16</v>
      </c>
      <c r="H9">
        <f t="shared" si="0"/>
        <v>0</v>
      </c>
      <c r="I9">
        <f>MAX(0, MAX(G9*6-E9, 30-E9))</f>
        <v>0</v>
      </c>
      <c r="J9">
        <f t="shared" si="0"/>
        <v>0</v>
      </c>
    </row>
    <row r="10" spans="1:10" x14ac:dyDescent="0.25">
      <c r="A10" s="2" t="s">
        <v>68</v>
      </c>
      <c r="B10">
        <v>74</v>
      </c>
      <c r="C10">
        <v>91.9</v>
      </c>
      <c r="D10">
        <v>6</v>
      </c>
      <c r="E10">
        <v>74</v>
      </c>
      <c r="F10">
        <v>91.9</v>
      </c>
      <c r="G10">
        <v>6</v>
      </c>
      <c r="H10">
        <f t="shared" si="0"/>
        <v>0</v>
      </c>
      <c r="I10">
        <f t="shared" ref="I10:I35" si="2">MAX(0, MAX(G10*6-E10, 30-E10))</f>
        <v>0</v>
      </c>
      <c r="J10">
        <f t="shared" si="0"/>
        <v>0</v>
      </c>
    </row>
    <row r="11" spans="1:10" s="2" customFormat="1" x14ac:dyDescent="0.25">
      <c r="A11" s="2" t="s">
        <v>69</v>
      </c>
      <c r="B11" s="2">
        <v>36</v>
      </c>
      <c r="C11" s="2">
        <v>91.7</v>
      </c>
      <c r="D11" s="2">
        <v>3</v>
      </c>
      <c r="E11" s="2">
        <v>37</v>
      </c>
      <c r="F11" s="2">
        <v>91.9</v>
      </c>
      <c r="G11" s="2">
        <v>3</v>
      </c>
      <c r="H11" s="2">
        <f t="shared" si="0"/>
        <v>1</v>
      </c>
      <c r="I11">
        <f t="shared" si="2"/>
        <v>0</v>
      </c>
      <c r="J11" s="2">
        <f t="shared" si="0"/>
        <v>0</v>
      </c>
    </row>
    <row r="12" spans="1:10" x14ac:dyDescent="0.25">
      <c r="A12" s="2" t="s">
        <v>70</v>
      </c>
      <c r="B12">
        <v>36</v>
      </c>
      <c r="C12">
        <v>88.9</v>
      </c>
      <c r="D12">
        <v>4</v>
      </c>
      <c r="E12">
        <v>36</v>
      </c>
      <c r="F12">
        <v>88.9</v>
      </c>
      <c r="G12">
        <v>4</v>
      </c>
      <c r="H12">
        <f t="shared" si="0"/>
        <v>0</v>
      </c>
      <c r="I12">
        <f t="shared" si="2"/>
        <v>0</v>
      </c>
      <c r="J12">
        <f t="shared" si="0"/>
        <v>0</v>
      </c>
    </row>
    <row r="13" spans="1:10" s="2" customFormat="1" x14ac:dyDescent="0.25">
      <c r="A13" s="2" t="s">
        <v>71</v>
      </c>
      <c r="B13" s="2">
        <v>75</v>
      </c>
      <c r="C13" s="2">
        <v>85.3</v>
      </c>
      <c r="D13" s="2">
        <v>10</v>
      </c>
      <c r="E13" s="2">
        <v>76</v>
      </c>
      <c r="F13" s="2">
        <v>85.5</v>
      </c>
      <c r="G13" s="2">
        <v>10</v>
      </c>
      <c r="H13" s="2">
        <f t="shared" si="0"/>
        <v>1</v>
      </c>
      <c r="I13">
        <f t="shared" si="2"/>
        <v>0</v>
      </c>
      <c r="J13" s="2">
        <f t="shared" si="0"/>
        <v>0</v>
      </c>
    </row>
    <row r="14" spans="1:10" x14ac:dyDescent="0.25">
      <c r="A14" s="2" t="s">
        <v>73</v>
      </c>
      <c r="B14">
        <v>50</v>
      </c>
      <c r="C14">
        <v>92</v>
      </c>
      <c r="D14">
        <v>4</v>
      </c>
      <c r="E14">
        <v>51</v>
      </c>
      <c r="F14">
        <v>92.2</v>
      </c>
      <c r="G14">
        <v>4</v>
      </c>
      <c r="H14">
        <f t="shared" si="0"/>
        <v>1</v>
      </c>
      <c r="I14">
        <f t="shared" si="2"/>
        <v>0</v>
      </c>
      <c r="J14">
        <f t="shared" si="0"/>
        <v>0</v>
      </c>
    </row>
    <row r="15" spans="1:10" x14ac:dyDescent="0.25">
      <c r="A15" s="2" t="s">
        <v>74</v>
      </c>
      <c r="B15">
        <v>73</v>
      </c>
      <c r="C15">
        <v>87.7</v>
      </c>
      <c r="D15">
        <v>9</v>
      </c>
      <c r="E15">
        <v>73</v>
      </c>
      <c r="F15">
        <v>87.7</v>
      </c>
      <c r="G15">
        <v>9</v>
      </c>
      <c r="H15">
        <f t="shared" si="0"/>
        <v>0</v>
      </c>
      <c r="I15">
        <f t="shared" si="2"/>
        <v>0</v>
      </c>
      <c r="J15">
        <f t="shared" si="0"/>
        <v>0</v>
      </c>
    </row>
    <row r="16" spans="1:10" x14ac:dyDescent="0.25">
      <c r="A16" s="2" t="s">
        <v>75</v>
      </c>
      <c r="B16">
        <v>221</v>
      </c>
      <c r="C16">
        <v>84.2</v>
      </c>
      <c r="D16">
        <v>35</v>
      </c>
      <c r="E16">
        <v>221</v>
      </c>
      <c r="F16">
        <v>84.2</v>
      </c>
      <c r="G16">
        <v>35</v>
      </c>
      <c r="H16">
        <f t="shared" si="0"/>
        <v>0</v>
      </c>
      <c r="I16">
        <f t="shared" si="2"/>
        <v>0</v>
      </c>
      <c r="J16">
        <f t="shared" si="0"/>
        <v>0</v>
      </c>
    </row>
    <row r="17" spans="1:10" x14ac:dyDescent="0.25">
      <c r="A17" s="2" t="s">
        <v>76</v>
      </c>
      <c r="B17">
        <v>47</v>
      </c>
      <c r="C17">
        <v>97.9</v>
      </c>
      <c r="D17">
        <v>1</v>
      </c>
      <c r="E17">
        <v>47</v>
      </c>
      <c r="F17">
        <v>97.9</v>
      </c>
      <c r="G17">
        <v>1</v>
      </c>
      <c r="H17">
        <f t="shared" si="0"/>
        <v>0</v>
      </c>
      <c r="I17">
        <f t="shared" si="2"/>
        <v>0</v>
      </c>
      <c r="J17">
        <f t="shared" si="0"/>
        <v>0</v>
      </c>
    </row>
    <row r="18" spans="1:10" x14ac:dyDescent="0.25">
      <c r="A18" s="2" t="s">
        <v>77</v>
      </c>
      <c r="B18">
        <v>136</v>
      </c>
      <c r="C18">
        <v>83.1</v>
      </c>
      <c r="D18">
        <v>22</v>
      </c>
      <c r="E18">
        <v>136</v>
      </c>
      <c r="F18">
        <v>83.1</v>
      </c>
      <c r="G18">
        <v>22</v>
      </c>
      <c r="H18">
        <f t="shared" si="0"/>
        <v>0</v>
      </c>
      <c r="I18">
        <f t="shared" si="2"/>
        <v>0</v>
      </c>
      <c r="J18">
        <f t="shared" si="0"/>
        <v>0</v>
      </c>
    </row>
    <row r="19" spans="1:10" x14ac:dyDescent="0.25">
      <c r="A19" s="2" t="s">
        <v>78</v>
      </c>
      <c r="B19">
        <v>373</v>
      </c>
      <c r="C19">
        <v>76.099999999999994</v>
      </c>
      <c r="D19">
        <v>77</v>
      </c>
      <c r="E19">
        <v>374</v>
      </c>
      <c r="F19">
        <v>76.2</v>
      </c>
      <c r="G19">
        <v>77</v>
      </c>
      <c r="H19">
        <f t="shared" si="0"/>
        <v>1</v>
      </c>
      <c r="I19">
        <f>MAX(0, MAX(G19*5-E19, 30-E19))</f>
        <v>11</v>
      </c>
      <c r="J19">
        <f t="shared" si="0"/>
        <v>0</v>
      </c>
    </row>
    <row r="20" spans="1:10" x14ac:dyDescent="0.25">
      <c r="A20" s="2" t="s">
        <v>79</v>
      </c>
      <c r="B20">
        <v>102</v>
      </c>
      <c r="C20">
        <v>85.3</v>
      </c>
      <c r="D20">
        <v>10</v>
      </c>
      <c r="E20">
        <v>102</v>
      </c>
      <c r="F20">
        <v>85.3</v>
      </c>
      <c r="G20">
        <v>10</v>
      </c>
      <c r="H20">
        <f t="shared" si="0"/>
        <v>0</v>
      </c>
      <c r="I20">
        <f t="shared" si="2"/>
        <v>0</v>
      </c>
      <c r="J20">
        <f t="shared" si="0"/>
        <v>0</v>
      </c>
    </row>
    <row r="21" spans="1:10" x14ac:dyDescent="0.25">
      <c r="A21" s="2" t="s">
        <v>80</v>
      </c>
      <c r="B21">
        <v>45</v>
      </c>
      <c r="C21">
        <v>86.7</v>
      </c>
      <c r="D21">
        <v>5</v>
      </c>
      <c r="E21">
        <v>46</v>
      </c>
      <c r="F21">
        <v>87</v>
      </c>
      <c r="G21">
        <v>5</v>
      </c>
      <c r="H21">
        <f t="shared" si="0"/>
        <v>1</v>
      </c>
      <c r="I21">
        <f t="shared" si="2"/>
        <v>0</v>
      </c>
      <c r="J21">
        <f t="shared" si="0"/>
        <v>0</v>
      </c>
    </row>
    <row r="22" spans="1:10" x14ac:dyDescent="0.25">
      <c r="A22" s="2" t="s">
        <v>81</v>
      </c>
      <c r="B22">
        <v>46</v>
      </c>
      <c r="C22">
        <v>84.8</v>
      </c>
      <c r="D22">
        <v>6</v>
      </c>
      <c r="E22">
        <v>47</v>
      </c>
      <c r="F22">
        <v>85.1</v>
      </c>
      <c r="G22">
        <v>6</v>
      </c>
      <c r="H22">
        <f t="shared" si="0"/>
        <v>1</v>
      </c>
      <c r="I22">
        <f t="shared" si="2"/>
        <v>0</v>
      </c>
      <c r="J22">
        <f t="shared" si="0"/>
        <v>0</v>
      </c>
    </row>
    <row r="23" spans="1:10" x14ac:dyDescent="0.25">
      <c r="A23" s="2" t="s">
        <v>82</v>
      </c>
      <c r="B23">
        <v>92</v>
      </c>
      <c r="C23">
        <v>85.9</v>
      </c>
      <c r="D23">
        <v>9</v>
      </c>
      <c r="E23">
        <v>93</v>
      </c>
      <c r="F23">
        <v>86</v>
      </c>
      <c r="G23">
        <v>9</v>
      </c>
      <c r="H23">
        <f t="shared" si="0"/>
        <v>1</v>
      </c>
      <c r="I23">
        <f t="shared" si="2"/>
        <v>0</v>
      </c>
      <c r="J23">
        <f t="shared" si="0"/>
        <v>0</v>
      </c>
    </row>
    <row r="24" spans="1:10" x14ac:dyDescent="0.25">
      <c r="A24" s="2" t="s">
        <v>83</v>
      </c>
      <c r="B24">
        <v>61</v>
      </c>
      <c r="C24">
        <v>83.6</v>
      </c>
      <c r="D24">
        <v>7</v>
      </c>
      <c r="E24">
        <v>63</v>
      </c>
      <c r="F24">
        <v>82.5</v>
      </c>
      <c r="G24">
        <v>8</v>
      </c>
      <c r="H24">
        <f t="shared" si="0"/>
        <v>2</v>
      </c>
      <c r="I24">
        <f t="shared" si="2"/>
        <v>0</v>
      </c>
      <c r="J24">
        <f t="shared" si="0"/>
        <v>1</v>
      </c>
    </row>
    <row r="25" spans="1:10" x14ac:dyDescent="0.25">
      <c r="A25" s="2" t="s">
        <v>11</v>
      </c>
      <c r="B25">
        <v>2</v>
      </c>
      <c r="C25">
        <v>0</v>
      </c>
      <c r="D25">
        <v>2</v>
      </c>
      <c r="E25">
        <v>102</v>
      </c>
      <c r="F25">
        <v>69.599999999999994</v>
      </c>
      <c r="G25">
        <v>23</v>
      </c>
      <c r="H25">
        <f t="shared" si="0"/>
        <v>100</v>
      </c>
      <c r="I25">
        <f>MAX(0, MAX(G25*5-E25, 30-E25))</f>
        <v>13</v>
      </c>
      <c r="J25">
        <f t="shared" si="0"/>
        <v>21</v>
      </c>
    </row>
    <row r="26" spans="1:10" x14ac:dyDescent="0.25">
      <c r="A26" s="2" t="s">
        <v>84</v>
      </c>
      <c r="B26">
        <v>45</v>
      </c>
      <c r="C26">
        <v>91.1</v>
      </c>
      <c r="D26">
        <v>4</v>
      </c>
      <c r="E26">
        <v>45</v>
      </c>
      <c r="F26">
        <v>91.1</v>
      </c>
      <c r="G26">
        <v>4</v>
      </c>
      <c r="H26">
        <f t="shared" si="0"/>
        <v>0</v>
      </c>
      <c r="I26">
        <f t="shared" si="2"/>
        <v>0</v>
      </c>
      <c r="J26">
        <f t="shared" si="0"/>
        <v>0</v>
      </c>
    </row>
    <row r="27" spans="1:10" x14ac:dyDescent="0.25">
      <c r="A27" s="2" t="s">
        <v>85</v>
      </c>
      <c r="B27">
        <v>64</v>
      </c>
      <c r="C27">
        <v>90.6</v>
      </c>
      <c r="D27">
        <v>4</v>
      </c>
      <c r="E27">
        <v>64</v>
      </c>
      <c r="F27">
        <v>90.6</v>
      </c>
      <c r="G27">
        <v>4</v>
      </c>
      <c r="H27">
        <f t="shared" si="0"/>
        <v>0</v>
      </c>
      <c r="I27">
        <f t="shared" si="2"/>
        <v>0</v>
      </c>
      <c r="J27">
        <f t="shared" si="0"/>
        <v>0</v>
      </c>
    </row>
    <row r="28" spans="1:10" x14ac:dyDescent="0.25">
      <c r="A28" s="2" t="s">
        <v>86</v>
      </c>
      <c r="B28">
        <v>92</v>
      </c>
      <c r="C28">
        <v>82.6</v>
      </c>
      <c r="D28">
        <v>12</v>
      </c>
      <c r="E28">
        <v>92</v>
      </c>
      <c r="F28">
        <v>82.6</v>
      </c>
      <c r="G28">
        <v>12</v>
      </c>
      <c r="H28">
        <f t="shared" si="0"/>
        <v>0</v>
      </c>
      <c r="I28">
        <f t="shared" si="2"/>
        <v>0</v>
      </c>
      <c r="J28">
        <f t="shared" si="0"/>
        <v>0</v>
      </c>
    </row>
    <row r="29" spans="1:10" x14ac:dyDescent="0.25">
      <c r="A29" s="2" t="s">
        <v>14</v>
      </c>
      <c r="B29">
        <v>142</v>
      </c>
      <c r="C29">
        <v>73.900000000000006</v>
      </c>
      <c r="D29">
        <v>25</v>
      </c>
      <c r="E29">
        <v>146</v>
      </c>
      <c r="F29">
        <v>73.3</v>
      </c>
      <c r="G29">
        <v>27</v>
      </c>
      <c r="H29">
        <f t="shared" si="0"/>
        <v>4</v>
      </c>
      <c r="I29">
        <f t="shared" si="2"/>
        <v>16</v>
      </c>
      <c r="J29">
        <f t="shared" si="0"/>
        <v>2</v>
      </c>
    </row>
    <row r="30" spans="1:10" x14ac:dyDescent="0.25">
      <c r="A30" s="2" t="s">
        <v>87</v>
      </c>
      <c r="B30">
        <v>28</v>
      </c>
      <c r="C30">
        <v>89.3</v>
      </c>
      <c r="D30">
        <v>2</v>
      </c>
      <c r="E30">
        <v>29</v>
      </c>
      <c r="F30">
        <v>89.7</v>
      </c>
      <c r="G30">
        <v>2</v>
      </c>
      <c r="H30">
        <f t="shared" si="0"/>
        <v>1</v>
      </c>
      <c r="I30">
        <f t="shared" si="2"/>
        <v>1</v>
      </c>
      <c r="J30">
        <f t="shared" si="0"/>
        <v>0</v>
      </c>
    </row>
    <row r="31" spans="1:10" x14ac:dyDescent="0.25">
      <c r="A31" s="2" t="s">
        <v>88</v>
      </c>
      <c r="B31">
        <v>32</v>
      </c>
      <c r="C31">
        <v>78.099999999999994</v>
      </c>
      <c r="D31">
        <v>6</v>
      </c>
      <c r="E31">
        <v>55</v>
      </c>
      <c r="F31">
        <v>85.5</v>
      </c>
      <c r="G31">
        <v>7</v>
      </c>
      <c r="H31">
        <f t="shared" ref="H31" si="3">E31-B31</f>
        <v>23</v>
      </c>
      <c r="I31">
        <f t="shared" si="2"/>
        <v>0</v>
      </c>
      <c r="J31">
        <f t="shared" ref="J31" si="4">G31-D31</f>
        <v>1</v>
      </c>
    </row>
    <row r="32" spans="1:10" x14ac:dyDescent="0.25">
      <c r="A32" s="2" t="s">
        <v>90</v>
      </c>
      <c r="B32">
        <v>26</v>
      </c>
      <c r="C32">
        <v>69.2</v>
      </c>
      <c r="D32">
        <v>6</v>
      </c>
      <c r="E32">
        <v>105</v>
      </c>
      <c r="F32">
        <v>75.2</v>
      </c>
      <c r="G32">
        <v>23</v>
      </c>
      <c r="H32">
        <f t="shared" ref="H32:H35" si="5">E32-B32</f>
        <v>79</v>
      </c>
      <c r="I32">
        <f>MAX(0, MAX(G32*5-E32, 30-E32))</f>
        <v>10</v>
      </c>
      <c r="J32">
        <f t="shared" ref="J32:J35" si="6">G32-D32</f>
        <v>17</v>
      </c>
    </row>
    <row r="33" spans="1:10" x14ac:dyDescent="0.25">
      <c r="A33" s="2" t="s">
        <v>7</v>
      </c>
      <c r="B33">
        <v>9</v>
      </c>
      <c r="C33">
        <v>100</v>
      </c>
      <c r="D33">
        <v>0</v>
      </c>
      <c r="E33">
        <v>31</v>
      </c>
      <c r="F33">
        <v>93.6</v>
      </c>
      <c r="G33">
        <v>2</v>
      </c>
      <c r="H33">
        <f t="shared" si="5"/>
        <v>22</v>
      </c>
      <c r="I33">
        <f t="shared" si="2"/>
        <v>0</v>
      </c>
      <c r="J33">
        <f t="shared" si="6"/>
        <v>2</v>
      </c>
    </row>
    <row r="34" spans="1:10" x14ac:dyDescent="0.25">
      <c r="A34" s="2" t="s">
        <v>91</v>
      </c>
      <c r="B34">
        <v>20</v>
      </c>
      <c r="C34">
        <v>65</v>
      </c>
      <c r="D34">
        <v>3</v>
      </c>
      <c r="E34">
        <v>76</v>
      </c>
      <c r="F34">
        <v>77.599999999999994</v>
      </c>
      <c r="G34">
        <v>10</v>
      </c>
      <c r="H34">
        <f t="shared" si="5"/>
        <v>56</v>
      </c>
      <c r="I34">
        <f t="shared" si="2"/>
        <v>0</v>
      </c>
      <c r="J34">
        <f t="shared" si="6"/>
        <v>7</v>
      </c>
    </row>
    <row r="35" spans="1:10" x14ac:dyDescent="0.25">
      <c r="A35" s="2" t="s">
        <v>92</v>
      </c>
      <c r="B35">
        <v>41</v>
      </c>
      <c r="C35">
        <v>68.3</v>
      </c>
      <c r="D35">
        <v>12</v>
      </c>
      <c r="E35">
        <v>102</v>
      </c>
      <c r="F35">
        <v>81.400000000000006</v>
      </c>
      <c r="G35">
        <v>17</v>
      </c>
      <c r="H35">
        <f t="shared" si="5"/>
        <v>61</v>
      </c>
      <c r="I35">
        <f t="shared" si="2"/>
        <v>0</v>
      </c>
      <c r="J35">
        <f t="shared" si="6"/>
        <v>5</v>
      </c>
    </row>
    <row r="37" spans="1:10" x14ac:dyDescent="0.25">
      <c r="H37">
        <f>SUM(H2:H35)</f>
        <v>356</v>
      </c>
      <c r="I37">
        <f>SUM(I2:I35)</f>
        <v>55</v>
      </c>
    </row>
  </sheetData>
  <phoneticPr fontId="18" type="noConversion"/>
  <conditionalFormatting sqref="B1">
    <cfRule type="cellIs" dxfId="15" priority="1" operator="lessThan">
      <formula>85</formula>
    </cfRule>
  </conditionalFormatting>
  <conditionalFormatting sqref="C2:C35">
    <cfRule type="top10" dxfId="14" priority="5" percent="1" bottom="1" rank="10"/>
  </conditionalFormatting>
  <conditionalFormatting sqref="C5:C35">
    <cfRule type="top10" dxfId="13" priority="4" percent="1" bottom="1" rank="20"/>
  </conditionalFormatting>
  <conditionalFormatting sqref="D2:D35">
    <cfRule type="top10" dxfId="12" priority="3" percent="1" rank="15"/>
  </conditionalFormatting>
  <conditionalFormatting sqref="E1">
    <cfRule type="cellIs" dxfId="11" priority="25" operator="lessThan">
      <formula>85</formula>
    </cfRule>
  </conditionalFormatting>
  <conditionalFormatting sqref="F1">
    <cfRule type="top10" dxfId="10" priority="23" percent="1" bottom="1" rank="10"/>
  </conditionalFormatting>
  <conditionalFormatting sqref="F2:F35">
    <cfRule type="top10" dxfId="9" priority="12" percent="1" bottom="1" rank="10"/>
  </conditionalFormatting>
  <conditionalFormatting sqref="F5:F35">
    <cfRule type="top10" dxfId="8" priority="7" percent="1" bottom="1" rank="20"/>
  </conditionalFormatting>
  <conditionalFormatting sqref="G2:G35">
    <cfRule type="top10" dxfId="7" priority="6" percent="1" rank="15"/>
  </conditionalFormatting>
  <conditionalFormatting sqref="I1">
    <cfRule type="top10" dxfId="6" priority="22" percent="1" rank="10"/>
  </conditionalFormatting>
  <conditionalFormatting sqref="I2:I35">
    <cfRule type="top10" dxfId="5" priority="2" percent="1" rank="15"/>
  </conditionalFormatting>
  <conditionalFormatting sqref="J1">
    <cfRule type="top10" dxfId="4" priority="24" percent="1" rank="10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8796-FED1-41A3-9A02-61F2116FCAB6}">
  <dimension ref="A1:J39"/>
  <sheetViews>
    <sheetView tabSelected="1" zoomScale="145" zoomScaleNormal="145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35" bestFit="1" customWidth="1"/>
  </cols>
  <sheetData>
    <row r="1" spans="1:10" x14ac:dyDescent="0.25">
      <c r="A1" s="1" t="s">
        <v>201</v>
      </c>
      <c r="B1" s="1" t="s">
        <v>1</v>
      </c>
      <c r="C1" s="1" t="s">
        <v>2</v>
      </c>
      <c r="D1" s="1" t="s">
        <v>227</v>
      </c>
      <c r="E1" s="1" t="s">
        <v>1</v>
      </c>
      <c r="F1" s="1" t="s">
        <v>2</v>
      </c>
      <c r="G1" s="1" t="s">
        <v>59</v>
      </c>
      <c r="H1" s="1" t="s">
        <v>154</v>
      </c>
      <c r="I1" s="1" t="s">
        <v>156</v>
      </c>
      <c r="J1" s="1" t="s">
        <v>155</v>
      </c>
    </row>
    <row r="2" spans="1:10" x14ac:dyDescent="0.25">
      <c r="A2" s="8" t="s">
        <v>84</v>
      </c>
      <c r="B2">
        <v>46</v>
      </c>
      <c r="C2">
        <v>91.3</v>
      </c>
      <c r="D2">
        <v>4</v>
      </c>
      <c r="E2">
        <v>51</v>
      </c>
      <c r="F2">
        <v>90.2</v>
      </c>
      <c r="G2">
        <v>5</v>
      </c>
      <c r="H2">
        <f t="shared" ref="H2:H35" si="0">E2-B2</f>
        <v>5</v>
      </c>
      <c r="I2">
        <f t="shared" ref="I2:I4" si="1">MAX(0, MAX(G2*5-E2, 30-E2))</f>
        <v>0</v>
      </c>
      <c r="J2">
        <f t="shared" ref="J2:J35" si="2">G2-D2</f>
        <v>1</v>
      </c>
    </row>
    <row r="3" spans="1:10" x14ac:dyDescent="0.25">
      <c r="A3" s="8" t="s">
        <v>85</v>
      </c>
      <c r="B3">
        <v>64</v>
      </c>
      <c r="C3">
        <v>90.6</v>
      </c>
      <c r="D3">
        <v>4</v>
      </c>
      <c r="E3">
        <v>69</v>
      </c>
      <c r="F3">
        <v>91.3</v>
      </c>
      <c r="G3">
        <v>4</v>
      </c>
      <c r="H3">
        <f t="shared" si="0"/>
        <v>5</v>
      </c>
      <c r="I3">
        <f t="shared" si="1"/>
        <v>0</v>
      </c>
      <c r="J3">
        <f t="shared" si="2"/>
        <v>0</v>
      </c>
    </row>
    <row r="4" spans="1:10" x14ac:dyDescent="0.25">
      <c r="A4" s="8" t="s">
        <v>86</v>
      </c>
      <c r="B4">
        <v>92</v>
      </c>
      <c r="C4">
        <v>82.6</v>
      </c>
      <c r="D4">
        <v>12</v>
      </c>
      <c r="E4">
        <v>99</v>
      </c>
      <c r="F4">
        <v>81.8</v>
      </c>
      <c r="G4">
        <v>14</v>
      </c>
      <c r="H4">
        <f t="shared" si="0"/>
        <v>7</v>
      </c>
      <c r="I4">
        <f t="shared" si="1"/>
        <v>0</v>
      </c>
      <c r="J4">
        <f t="shared" si="2"/>
        <v>2</v>
      </c>
    </row>
    <row r="5" spans="1:10" s="2" customFormat="1" x14ac:dyDescent="0.25">
      <c r="A5" s="8" t="s">
        <v>14</v>
      </c>
      <c r="B5" s="2">
        <v>149</v>
      </c>
      <c r="C5" s="2">
        <v>71.8</v>
      </c>
      <c r="D5" s="2">
        <v>30</v>
      </c>
      <c r="E5" s="2">
        <v>171</v>
      </c>
      <c r="F5" s="2">
        <v>71.400000000000006</v>
      </c>
      <c r="G5" s="2">
        <v>37</v>
      </c>
      <c r="H5" s="2">
        <f t="shared" si="0"/>
        <v>22</v>
      </c>
      <c r="I5">
        <f>MAX(0, MAX(G5*6-E5, 30-E5))</f>
        <v>51</v>
      </c>
      <c r="J5" s="2">
        <f t="shared" si="2"/>
        <v>7</v>
      </c>
    </row>
    <row r="6" spans="1:10" s="2" customFormat="1" x14ac:dyDescent="0.25">
      <c r="A6" s="8" t="s">
        <v>87</v>
      </c>
      <c r="B6" s="2">
        <v>29</v>
      </c>
      <c r="C6" s="2">
        <v>89.7</v>
      </c>
      <c r="D6" s="2">
        <v>2</v>
      </c>
      <c r="E6" s="2">
        <v>35</v>
      </c>
      <c r="F6" s="2">
        <v>88.6</v>
      </c>
      <c r="G6" s="2">
        <v>3</v>
      </c>
      <c r="H6" s="2">
        <f t="shared" si="0"/>
        <v>6</v>
      </c>
      <c r="I6">
        <f t="shared" ref="I6:I37" si="3">MAX(0, MAX(G6*6-E6, 30-E6))</f>
        <v>0</v>
      </c>
      <c r="J6" s="2">
        <f t="shared" si="2"/>
        <v>1</v>
      </c>
    </row>
    <row r="7" spans="1:10" x14ac:dyDescent="0.25">
      <c r="A7" s="8" t="s">
        <v>88</v>
      </c>
      <c r="B7">
        <v>55</v>
      </c>
      <c r="C7">
        <v>85.5</v>
      </c>
      <c r="D7">
        <v>7</v>
      </c>
      <c r="E7">
        <v>61</v>
      </c>
      <c r="F7">
        <v>85.3</v>
      </c>
      <c r="G7">
        <v>8</v>
      </c>
      <c r="H7">
        <f t="shared" si="0"/>
        <v>6</v>
      </c>
      <c r="I7">
        <f t="shared" si="3"/>
        <v>0</v>
      </c>
      <c r="J7">
        <f t="shared" si="2"/>
        <v>1</v>
      </c>
    </row>
    <row r="8" spans="1:10" s="2" customFormat="1" x14ac:dyDescent="0.25">
      <c r="A8" s="8" t="s">
        <v>89</v>
      </c>
      <c r="B8" s="2">
        <v>44</v>
      </c>
      <c r="C8" s="2">
        <v>77.3</v>
      </c>
      <c r="D8" s="2">
        <v>10</v>
      </c>
      <c r="E8" s="2">
        <v>56</v>
      </c>
      <c r="F8" s="2">
        <v>78.599999999999994</v>
      </c>
      <c r="G8" s="2">
        <v>12</v>
      </c>
      <c r="H8" s="2">
        <f t="shared" si="0"/>
        <v>12</v>
      </c>
      <c r="I8">
        <f t="shared" si="3"/>
        <v>16</v>
      </c>
      <c r="J8" s="2">
        <f t="shared" si="2"/>
        <v>2</v>
      </c>
    </row>
    <row r="9" spans="1:10" x14ac:dyDescent="0.25">
      <c r="A9" s="8" t="s">
        <v>90</v>
      </c>
      <c r="B9">
        <v>108</v>
      </c>
      <c r="C9">
        <v>74.099999999999994</v>
      </c>
      <c r="D9">
        <v>25</v>
      </c>
      <c r="E9">
        <v>114</v>
      </c>
      <c r="F9">
        <v>74.599999999999994</v>
      </c>
      <c r="G9">
        <v>26</v>
      </c>
      <c r="H9">
        <f t="shared" si="0"/>
        <v>6</v>
      </c>
      <c r="I9">
        <f t="shared" si="3"/>
        <v>42</v>
      </c>
      <c r="J9">
        <f t="shared" si="2"/>
        <v>1</v>
      </c>
    </row>
    <row r="10" spans="1:10" x14ac:dyDescent="0.25">
      <c r="A10" s="8" t="s">
        <v>7</v>
      </c>
      <c r="B10">
        <v>31</v>
      </c>
      <c r="C10">
        <v>93.6</v>
      </c>
      <c r="D10">
        <v>2</v>
      </c>
      <c r="E10">
        <v>36</v>
      </c>
      <c r="F10">
        <v>94.4</v>
      </c>
      <c r="G10">
        <v>2</v>
      </c>
      <c r="H10">
        <f t="shared" si="0"/>
        <v>5</v>
      </c>
      <c r="I10">
        <f t="shared" si="3"/>
        <v>0</v>
      </c>
      <c r="J10">
        <f t="shared" si="2"/>
        <v>0</v>
      </c>
    </row>
    <row r="11" spans="1:10" s="2" customFormat="1" x14ac:dyDescent="0.25">
      <c r="A11" s="14" t="s">
        <v>92</v>
      </c>
      <c r="B11" s="2">
        <v>102</v>
      </c>
      <c r="C11" s="2">
        <v>81.400000000000006</v>
      </c>
      <c r="D11" s="2">
        <v>17</v>
      </c>
      <c r="E11" s="2">
        <v>110</v>
      </c>
      <c r="F11" s="2">
        <v>80</v>
      </c>
      <c r="G11" s="2">
        <v>20</v>
      </c>
      <c r="H11" s="2">
        <f t="shared" si="0"/>
        <v>8</v>
      </c>
      <c r="I11">
        <f t="shared" si="3"/>
        <v>10</v>
      </c>
      <c r="J11" s="2">
        <f t="shared" si="2"/>
        <v>3</v>
      </c>
    </row>
    <row r="12" spans="1:10" x14ac:dyDescent="0.25">
      <c r="A12" s="14" t="s">
        <v>91</v>
      </c>
      <c r="B12">
        <v>79</v>
      </c>
      <c r="C12">
        <v>78.5</v>
      </c>
      <c r="D12">
        <v>10</v>
      </c>
      <c r="E12">
        <v>79</v>
      </c>
      <c r="F12">
        <v>78.5</v>
      </c>
      <c r="G12">
        <v>10</v>
      </c>
      <c r="H12">
        <f t="shared" si="0"/>
        <v>0</v>
      </c>
      <c r="I12">
        <f t="shared" si="3"/>
        <v>0</v>
      </c>
      <c r="J12">
        <f t="shared" si="2"/>
        <v>0</v>
      </c>
    </row>
    <row r="13" spans="1:10" s="2" customFormat="1" x14ac:dyDescent="0.25">
      <c r="A13" s="9" t="s">
        <v>12</v>
      </c>
      <c r="B13" s="2">
        <v>28</v>
      </c>
      <c r="C13" s="2">
        <v>89.3</v>
      </c>
      <c r="D13" s="2">
        <v>3</v>
      </c>
      <c r="E13" s="2">
        <v>28</v>
      </c>
      <c r="F13" s="2">
        <v>89.3</v>
      </c>
      <c r="G13" s="2">
        <v>3</v>
      </c>
      <c r="H13" s="2">
        <f t="shared" si="0"/>
        <v>0</v>
      </c>
      <c r="I13">
        <f t="shared" si="3"/>
        <v>2</v>
      </c>
      <c r="J13" s="2">
        <f t="shared" si="2"/>
        <v>0</v>
      </c>
    </row>
    <row r="14" spans="1:10" x14ac:dyDescent="0.25">
      <c r="A14" s="9" t="s">
        <v>94</v>
      </c>
      <c r="B14">
        <v>38</v>
      </c>
      <c r="C14">
        <v>86.8</v>
      </c>
      <c r="D14">
        <v>5</v>
      </c>
      <c r="E14">
        <v>38</v>
      </c>
      <c r="F14">
        <v>86.8</v>
      </c>
      <c r="G14">
        <v>5</v>
      </c>
      <c r="H14">
        <f t="shared" si="0"/>
        <v>0</v>
      </c>
      <c r="I14">
        <f t="shared" si="3"/>
        <v>0</v>
      </c>
      <c r="J14">
        <f t="shared" si="2"/>
        <v>0</v>
      </c>
    </row>
    <row r="15" spans="1:10" x14ac:dyDescent="0.25">
      <c r="A15" s="9" t="s">
        <v>15</v>
      </c>
      <c r="B15">
        <v>80</v>
      </c>
      <c r="C15">
        <v>73.8</v>
      </c>
      <c r="D15">
        <v>21</v>
      </c>
      <c r="E15">
        <v>80</v>
      </c>
      <c r="F15">
        <v>73.8</v>
      </c>
      <c r="G15">
        <v>21</v>
      </c>
      <c r="H15">
        <f t="shared" si="0"/>
        <v>0</v>
      </c>
      <c r="I15">
        <f t="shared" si="3"/>
        <v>46</v>
      </c>
      <c r="J15">
        <f t="shared" si="2"/>
        <v>0</v>
      </c>
    </row>
    <row r="16" spans="1:10" x14ac:dyDescent="0.25">
      <c r="A16" s="10" t="s">
        <v>11</v>
      </c>
      <c r="B16">
        <v>120</v>
      </c>
      <c r="C16">
        <v>71.7</v>
      </c>
      <c r="D16">
        <v>26</v>
      </c>
      <c r="E16">
        <v>121</v>
      </c>
      <c r="F16">
        <v>71.900000000000006</v>
      </c>
      <c r="G16">
        <v>26</v>
      </c>
      <c r="H16">
        <f t="shared" si="0"/>
        <v>1</v>
      </c>
      <c r="I16">
        <f t="shared" si="3"/>
        <v>35</v>
      </c>
      <c r="J16">
        <f t="shared" si="2"/>
        <v>0</v>
      </c>
    </row>
    <row r="17" spans="1:10" x14ac:dyDescent="0.25">
      <c r="A17" s="10" t="s">
        <v>95</v>
      </c>
      <c r="B17">
        <v>42</v>
      </c>
      <c r="C17">
        <v>83.3</v>
      </c>
      <c r="D17">
        <v>7</v>
      </c>
      <c r="E17">
        <v>42</v>
      </c>
      <c r="F17">
        <v>83.3</v>
      </c>
      <c r="G17">
        <v>7</v>
      </c>
      <c r="H17">
        <f t="shared" si="0"/>
        <v>0</v>
      </c>
      <c r="I17">
        <f t="shared" si="3"/>
        <v>0</v>
      </c>
      <c r="J17">
        <f t="shared" si="2"/>
        <v>0</v>
      </c>
    </row>
    <row r="18" spans="1:10" x14ac:dyDescent="0.25">
      <c r="A18" s="10" t="s">
        <v>3</v>
      </c>
      <c r="B18">
        <v>106</v>
      </c>
      <c r="C18">
        <v>70.8</v>
      </c>
      <c r="D18">
        <v>31</v>
      </c>
      <c r="E18">
        <v>106</v>
      </c>
      <c r="F18">
        <v>70.8</v>
      </c>
      <c r="G18">
        <v>31</v>
      </c>
      <c r="H18">
        <f t="shared" si="0"/>
        <v>0</v>
      </c>
      <c r="I18">
        <f t="shared" si="3"/>
        <v>80</v>
      </c>
      <c r="J18">
        <f t="shared" si="2"/>
        <v>0</v>
      </c>
    </row>
    <row r="19" spans="1:10" x14ac:dyDescent="0.25">
      <c r="A19" s="11" t="s">
        <v>6</v>
      </c>
      <c r="B19">
        <v>40</v>
      </c>
      <c r="C19">
        <v>75</v>
      </c>
      <c r="D19">
        <v>10</v>
      </c>
      <c r="E19">
        <v>40</v>
      </c>
      <c r="F19">
        <v>75</v>
      </c>
      <c r="G19">
        <v>10</v>
      </c>
      <c r="H19">
        <f t="shared" si="0"/>
        <v>0</v>
      </c>
      <c r="I19">
        <f t="shared" si="3"/>
        <v>20</v>
      </c>
      <c r="J19">
        <f t="shared" si="2"/>
        <v>0</v>
      </c>
    </row>
    <row r="20" spans="1:10" x14ac:dyDescent="0.25">
      <c r="A20" s="11" t="s">
        <v>5</v>
      </c>
      <c r="B20">
        <v>53</v>
      </c>
      <c r="C20">
        <v>75.5</v>
      </c>
      <c r="D20">
        <v>13</v>
      </c>
      <c r="E20">
        <v>53</v>
      </c>
      <c r="F20">
        <v>75.5</v>
      </c>
      <c r="G20">
        <v>13</v>
      </c>
      <c r="H20">
        <f t="shared" si="0"/>
        <v>0</v>
      </c>
      <c r="I20">
        <f t="shared" si="3"/>
        <v>25</v>
      </c>
      <c r="J20">
        <f t="shared" si="2"/>
        <v>0</v>
      </c>
    </row>
    <row r="21" spans="1:10" x14ac:dyDescent="0.25">
      <c r="A21" s="11" t="s">
        <v>96</v>
      </c>
      <c r="B21">
        <v>38</v>
      </c>
      <c r="C21">
        <v>92.1</v>
      </c>
      <c r="D21">
        <v>3</v>
      </c>
      <c r="E21">
        <v>38</v>
      </c>
      <c r="F21">
        <v>92.1</v>
      </c>
      <c r="G21">
        <v>3</v>
      </c>
      <c r="H21">
        <f t="shared" si="0"/>
        <v>0</v>
      </c>
      <c r="I21">
        <f t="shared" si="3"/>
        <v>0</v>
      </c>
      <c r="J21">
        <f t="shared" si="2"/>
        <v>0</v>
      </c>
    </row>
    <row r="22" spans="1:10" x14ac:dyDescent="0.25">
      <c r="A22" s="11" t="s">
        <v>4</v>
      </c>
      <c r="B22">
        <v>35</v>
      </c>
      <c r="C22">
        <v>48.6</v>
      </c>
      <c r="D22">
        <v>18</v>
      </c>
      <c r="E22">
        <v>38</v>
      </c>
      <c r="F22">
        <v>50</v>
      </c>
      <c r="G22">
        <v>19</v>
      </c>
      <c r="H22">
        <f t="shared" si="0"/>
        <v>3</v>
      </c>
      <c r="I22">
        <f t="shared" si="3"/>
        <v>76</v>
      </c>
      <c r="J22">
        <f t="shared" si="2"/>
        <v>1</v>
      </c>
    </row>
    <row r="23" spans="1:10" x14ac:dyDescent="0.25">
      <c r="A23" s="12" t="s">
        <v>97</v>
      </c>
      <c r="B23">
        <v>34</v>
      </c>
      <c r="C23">
        <v>88.2</v>
      </c>
      <c r="D23">
        <v>4</v>
      </c>
      <c r="E23">
        <v>34</v>
      </c>
      <c r="F23">
        <v>88.2</v>
      </c>
      <c r="G23">
        <v>4</v>
      </c>
      <c r="H23">
        <f t="shared" si="0"/>
        <v>0</v>
      </c>
      <c r="I23">
        <f t="shared" si="3"/>
        <v>0</v>
      </c>
      <c r="J23">
        <f t="shared" si="2"/>
        <v>0</v>
      </c>
    </row>
    <row r="24" spans="1:10" x14ac:dyDescent="0.25">
      <c r="A24" s="12" t="s">
        <v>98</v>
      </c>
      <c r="B24">
        <v>30</v>
      </c>
      <c r="C24">
        <v>86.7</v>
      </c>
      <c r="D24">
        <v>4</v>
      </c>
      <c r="E24">
        <v>30</v>
      </c>
      <c r="F24">
        <v>86.7</v>
      </c>
      <c r="G24">
        <v>4</v>
      </c>
      <c r="H24">
        <f t="shared" si="0"/>
        <v>0</v>
      </c>
      <c r="I24">
        <f t="shared" si="3"/>
        <v>0</v>
      </c>
      <c r="J24">
        <f t="shared" si="2"/>
        <v>0</v>
      </c>
    </row>
    <row r="25" spans="1:10" x14ac:dyDescent="0.25">
      <c r="A25" s="12" t="s">
        <v>99</v>
      </c>
      <c r="B25">
        <v>28</v>
      </c>
      <c r="C25">
        <v>85.7</v>
      </c>
      <c r="D25">
        <v>4</v>
      </c>
      <c r="E25">
        <v>28</v>
      </c>
      <c r="F25">
        <v>85.7</v>
      </c>
      <c r="G25">
        <v>4</v>
      </c>
      <c r="H25">
        <f t="shared" si="0"/>
        <v>0</v>
      </c>
      <c r="I25">
        <f t="shared" si="3"/>
        <v>2</v>
      </c>
      <c r="J25">
        <f t="shared" si="2"/>
        <v>0</v>
      </c>
    </row>
    <row r="26" spans="1:10" x14ac:dyDescent="0.25">
      <c r="A26" s="12" t="s">
        <v>100</v>
      </c>
      <c r="B26">
        <v>13</v>
      </c>
      <c r="C26">
        <v>69.2</v>
      </c>
      <c r="D26">
        <v>4</v>
      </c>
      <c r="E26">
        <v>13</v>
      </c>
      <c r="F26">
        <v>69.2</v>
      </c>
      <c r="G26">
        <v>4</v>
      </c>
      <c r="H26">
        <f t="shared" si="0"/>
        <v>0</v>
      </c>
      <c r="I26">
        <f t="shared" si="3"/>
        <v>17</v>
      </c>
      <c r="J26">
        <f t="shared" si="2"/>
        <v>0</v>
      </c>
    </row>
    <row r="27" spans="1:10" x14ac:dyDescent="0.25">
      <c r="A27" s="12" t="s">
        <v>101</v>
      </c>
      <c r="B27">
        <v>24</v>
      </c>
      <c r="C27">
        <v>100</v>
      </c>
      <c r="D27">
        <v>0</v>
      </c>
      <c r="E27">
        <v>24</v>
      </c>
      <c r="F27">
        <v>100</v>
      </c>
      <c r="G27">
        <v>0</v>
      </c>
      <c r="H27">
        <f t="shared" si="0"/>
        <v>0</v>
      </c>
      <c r="I27">
        <f t="shared" si="3"/>
        <v>6</v>
      </c>
      <c r="J27">
        <f t="shared" si="2"/>
        <v>0</v>
      </c>
    </row>
    <row r="28" spans="1:10" x14ac:dyDescent="0.25">
      <c r="A28" s="13" t="s">
        <v>102</v>
      </c>
      <c r="B28">
        <v>28</v>
      </c>
      <c r="C28">
        <v>89.3</v>
      </c>
      <c r="D28">
        <v>3</v>
      </c>
      <c r="E28">
        <v>28</v>
      </c>
      <c r="F28">
        <v>89.3</v>
      </c>
      <c r="G28">
        <v>3</v>
      </c>
      <c r="H28">
        <f t="shared" si="0"/>
        <v>0</v>
      </c>
      <c r="I28">
        <f t="shared" si="3"/>
        <v>2</v>
      </c>
      <c r="J28">
        <f t="shared" si="2"/>
        <v>0</v>
      </c>
    </row>
    <row r="29" spans="1:10" x14ac:dyDescent="0.25">
      <c r="A29" s="13" t="s">
        <v>42</v>
      </c>
      <c r="B29">
        <v>27</v>
      </c>
      <c r="C29">
        <v>88.9</v>
      </c>
      <c r="D29">
        <v>3</v>
      </c>
      <c r="E29">
        <v>27</v>
      </c>
      <c r="F29">
        <v>88.9</v>
      </c>
      <c r="G29">
        <v>3</v>
      </c>
      <c r="H29">
        <f t="shared" si="0"/>
        <v>0</v>
      </c>
      <c r="I29">
        <f t="shared" si="3"/>
        <v>3</v>
      </c>
      <c r="J29">
        <f t="shared" si="2"/>
        <v>0</v>
      </c>
    </row>
    <row r="30" spans="1:10" x14ac:dyDescent="0.25">
      <c r="A30" s="13" t="s">
        <v>40</v>
      </c>
      <c r="B30">
        <v>16</v>
      </c>
      <c r="C30">
        <v>87.5</v>
      </c>
      <c r="D30">
        <v>2</v>
      </c>
      <c r="E30">
        <v>16</v>
      </c>
      <c r="F30">
        <v>87.5</v>
      </c>
      <c r="G30">
        <v>2</v>
      </c>
      <c r="H30">
        <f t="shared" si="0"/>
        <v>0</v>
      </c>
      <c r="I30">
        <f t="shared" si="3"/>
        <v>14</v>
      </c>
      <c r="J30">
        <f t="shared" si="2"/>
        <v>0</v>
      </c>
    </row>
    <row r="31" spans="1:10" x14ac:dyDescent="0.25">
      <c r="A31" s="13" t="s">
        <v>103</v>
      </c>
      <c r="B31">
        <v>4</v>
      </c>
      <c r="C31">
        <v>75</v>
      </c>
      <c r="D31">
        <v>1</v>
      </c>
      <c r="E31">
        <v>6</v>
      </c>
      <c r="F31">
        <v>83.3</v>
      </c>
      <c r="G31">
        <v>1</v>
      </c>
      <c r="H31">
        <f t="shared" si="0"/>
        <v>2</v>
      </c>
      <c r="I31">
        <f t="shared" si="3"/>
        <v>24</v>
      </c>
      <c r="J31">
        <f t="shared" si="2"/>
        <v>0</v>
      </c>
    </row>
    <row r="32" spans="1:10" x14ac:dyDescent="0.25">
      <c r="A32" s="13" t="s">
        <v>43</v>
      </c>
      <c r="B32">
        <v>10</v>
      </c>
      <c r="C32">
        <v>80</v>
      </c>
      <c r="D32">
        <v>2</v>
      </c>
      <c r="E32">
        <v>10</v>
      </c>
      <c r="F32">
        <v>80</v>
      </c>
      <c r="G32">
        <v>2</v>
      </c>
      <c r="H32">
        <f t="shared" si="0"/>
        <v>0</v>
      </c>
      <c r="I32">
        <f t="shared" si="3"/>
        <v>20</v>
      </c>
      <c r="J32">
        <f t="shared" si="2"/>
        <v>0</v>
      </c>
    </row>
    <row r="33" spans="1:10" x14ac:dyDescent="0.25">
      <c r="A33" s="14" t="s">
        <v>104</v>
      </c>
      <c r="B33">
        <v>27</v>
      </c>
      <c r="C33">
        <v>81.5</v>
      </c>
      <c r="D33">
        <v>5</v>
      </c>
      <c r="E33">
        <v>27</v>
      </c>
      <c r="F33">
        <v>81.5</v>
      </c>
      <c r="G33">
        <v>5</v>
      </c>
      <c r="H33">
        <f t="shared" si="0"/>
        <v>0</v>
      </c>
      <c r="I33">
        <f t="shared" si="3"/>
        <v>3</v>
      </c>
      <c r="J33">
        <f t="shared" si="2"/>
        <v>0</v>
      </c>
    </row>
    <row r="34" spans="1:10" x14ac:dyDescent="0.25">
      <c r="A34" s="14" t="s">
        <v>105</v>
      </c>
      <c r="B34">
        <v>27</v>
      </c>
      <c r="C34">
        <v>85.2</v>
      </c>
      <c r="D34">
        <v>4</v>
      </c>
      <c r="E34">
        <v>28</v>
      </c>
      <c r="F34">
        <v>85.7</v>
      </c>
      <c r="G34">
        <v>4</v>
      </c>
      <c r="H34">
        <f t="shared" si="0"/>
        <v>1</v>
      </c>
      <c r="I34">
        <f t="shared" si="3"/>
        <v>2</v>
      </c>
      <c r="J34">
        <f t="shared" si="2"/>
        <v>0</v>
      </c>
    </row>
    <row r="35" spans="1:10" x14ac:dyDescent="0.25">
      <c r="A35" s="14" t="s">
        <v>106</v>
      </c>
      <c r="B35">
        <v>4</v>
      </c>
      <c r="C35">
        <v>100</v>
      </c>
      <c r="D35">
        <v>0</v>
      </c>
      <c r="E35">
        <v>4</v>
      </c>
      <c r="F35">
        <v>100</v>
      </c>
      <c r="G35">
        <v>0</v>
      </c>
      <c r="H35">
        <f t="shared" si="0"/>
        <v>0</v>
      </c>
      <c r="I35">
        <f t="shared" si="3"/>
        <v>26</v>
      </c>
      <c r="J35">
        <f t="shared" si="2"/>
        <v>0</v>
      </c>
    </row>
    <row r="36" spans="1:10" x14ac:dyDescent="0.25">
      <c r="A36" s="14" t="s">
        <v>107</v>
      </c>
      <c r="B36">
        <v>10</v>
      </c>
      <c r="C36">
        <v>80</v>
      </c>
      <c r="D36">
        <v>2</v>
      </c>
      <c r="E36">
        <v>10</v>
      </c>
      <c r="F36">
        <v>80</v>
      </c>
      <c r="G36">
        <v>2</v>
      </c>
      <c r="H36">
        <f t="shared" ref="H36:H37" si="4">E36-B36</f>
        <v>0</v>
      </c>
      <c r="I36">
        <f t="shared" si="3"/>
        <v>20</v>
      </c>
      <c r="J36">
        <f t="shared" ref="J36:J37" si="5">G36-D36</f>
        <v>0</v>
      </c>
    </row>
    <row r="37" spans="1:10" x14ac:dyDescent="0.25">
      <c r="A37" s="14" t="s">
        <v>108</v>
      </c>
      <c r="B37">
        <v>0</v>
      </c>
      <c r="C37">
        <v>0</v>
      </c>
      <c r="D37">
        <v>0</v>
      </c>
      <c r="E37">
        <v>11</v>
      </c>
      <c r="F37">
        <v>72.7</v>
      </c>
      <c r="G37">
        <v>3</v>
      </c>
      <c r="H37">
        <f t="shared" si="4"/>
        <v>11</v>
      </c>
      <c r="I37">
        <f t="shared" si="3"/>
        <v>19</v>
      </c>
      <c r="J37">
        <f t="shared" si="5"/>
        <v>3</v>
      </c>
    </row>
    <row r="39" spans="1:10" x14ac:dyDescent="0.25">
      <c r="H39">
        <f>SUM(H2:H37)</f>
        <v>100</v>
      </c>
      <c r="I39">
        <f>SUM(I2:I37)</f>
        <v>561</v>
      </c>
    </row>
  </sheetData>
  <conditionalFormatting sqref="C2:C37">
    <cfRule type="cellIs" dxfId="3" priority="2" operator="lessThan">
      <formula>80</formula>
    </cfRule>
  </conditionalFormatting>
  <conditionalFormatting sqref="F2:F37">
    <cfRule type="cellIs" dxfId="2" priority="1" operator="lessThan">
      <formula>75</formula>
    </cfRule>
  </conditionalFormatting>
  <conditionalFormatting sqref="J2:J22">
    <cfRule type="top10" dxfId="1" priority="4" percent="1" rank="15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zoomScale="130" zoomScaleNormal="130"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3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59</v>
      </c>
      <c r="E1" t="s">
        <v>1</v>
      </c>
      <c r="F1" t="s">
        <v>2</v>
      </c>
      <c r="G1" t="s">
        <v>59</v>
      </c>
      <c r="H1" t="s">
        <v>154</v>
      </c>
      <c r="I1" t="s">
        <v>156</v>
      </c>
      <c r="J1" t="s">
        <v>155</v>
      </c>
    </row>
    <row r="2" spans="1:10" x14ac:dyDescent="0.25">
      <c r="A2" t="s">
        <v>119</v>
      </c>
      <c r="B2">
        <v>43</v>
      </c>
      <c r="C2">
        <v>81.400000000000006</v>
      </c>
      <c r="D2">
        <v>8</v>
      </c>
      <c r="E2">
        <v>55</v>
      </c>
      <c r="F2">
        <v>81.8</v>
      </c>
      <c r="G2">
        <v>10</v>
      </c>
      <c r="H2">
        <f t="shared" ref="H2:H30" si="0">E2-B2</f>
        <v>12</v>
      </c>
      <c r="J2">
        <f t="shared" ref="J2:J30" si="1">G2-D2</f>
        <v>2</v>
      </c>
    </row>
    <row r="3" spans="1:10" x14ac:dyDescent="0.25">
      <c r="A3" t="s">
        <v>120</v>
      </c>
      <c r="B3">
        <v>41</v>
      </c>
      <c r="C3">
        <v>87.8</v>
      </c>
      <c r="D3">
        <v>4</v>
      </c>
      <c r="E3">
        <v>45</v>
      </c>
      <c r="F3">
        <v>88.9</v>
      </c>
      <c r="G3">
        <v>4</v>
      </c>
      <c r="H3">
        <f t="shared" si="0"/>
        <v>4</v>
      </c>
      <c r="J3">
        <f t="shared" si="1"/>
        <v>0</v>
      </c>
    </row>
    <row r="4" spans="1:10" x14ac:dyDescent="0.25">
      <c r="A4" t="s">
        <v>121</v>
      </c>
      <c r="B4">
        <v>8</v>
      </c>
      <c r="C4">
        <v>87.5</v>
      </c>
      <c r="D4">
        <v>1</v>
      </c>
      <c r="E4">
        <v>27</v>
      </c>
      <c r="F4">
        <v>81.5</v>
      </c>
      <c r="G4">
        <v>5</v>
      </c>
      <c r="H4">
        <f t="shared" si="0"/>
        <v>19</v>
      </c>
      <c r="I4">
        <f>MAX(0, MAX(G4*6-E4, 30-E4))</f>
        <v>3</v>
      </c>
      <c r="J4">
        <f t="shared" si="1"/>
        <v>4</v>
      </c>
    </row>
    <row r="5" spans="1:10" x14ac:dyDescent="0.25">
      <c r="A5" t="s">
        <v>122</v>
      </c>
      <c r="B5">
        <v>35</v>
      </c>
      <c r="C5">
        <v>85.7</v>
      </c>
      <c r="D5">
        <v>5</v>
      </c>
      <c r="E5">
        <v>47</v>
      </c>
      <c r="F5">
        <v>83</v>
      </c>
      <c r="G5">
        <v>8</v>
      </c>
      <c r="H5">
        <f t="shared" si="0"/>
        <v>12</v>
      </c>
      <c r="I5">
        <f t="shared" ref="I5:I30" si="2">MAX(0, MAX(G5*6-E5, 30-E5))</f>
        <v>1</v>
      </c>
      <c r="J5">
        <f t="shared" si="1"/>
        <v>3</v>
      </c>
    </row>
    <row r="6" spans="1:10" x14ac:dyDescent="0.25">
      <c r="A6" t="s">
        <v>123</v>
      </c>
      <c r="B6">
        <v>35</v>
      </c>
      <c r="C6">
        <v>85.7</v>
      </c>
      <c r="D6">
        <v>5</v>
      </c>
      <c r="E6">
        <v>48</v>
      </c>
      <c r="F6">
        <v>83.3</v>
      </c>
      <c r="G6">
        <v>8</v>
      </c>
      <c r="H6">
        <f t="shared" si="0"/>
        <v>13</v>
      </c>
      <c r="I6">
        <f t="shared" si="2"/>
        <v>0</v>
      </c>
      <c r="J6">
        <f t="shared" si="1"/>
        <v>3</v>
      </c>
    </row>
    <row r="7" spans="1:10" x14ac:dyDescent="0.25">
      <c r="A7" t="s">
        <v>124</v>
      </c>
      <c r="B7">
        <v>0</v>
      </c>
      <c r="C7">
        <v>0</v>
      </c>
      <c r="D7">
        <v>0</v>
      </c>
      <c r="E7">
        <v>52</v>
      </c>
      <c r="F7">
        <v>75</v>
      </c>
      <c r="G7">
        <v>13</v>
      </c>
      <c r="H7">
        <f t="shared" si="0"/>
        <v>52</v>
      </c>
      <c r="I7">
        <f t="shared" si="2"/>
        <v>26</v>
      </c>
      <c r="J7">
        <f t="shared" si="1"/>
        <v>13</v>
      </c>
    </row>
    <row r="8" spans="1:10" x14ac:dyDescent="0.25">
      <c r="A8" t="s">
        <v>125</v>
      </c>
      <c r="B8">
        <v>67</v>
      </c>
      <c r="C8">
        <v>86.6</v>
      </c>
      <c r="D8">
        <v>9</v>
      </c>
      <c r="E8">
        <v>87</v>
      </c>
      <c r="F8">
        <v>86.2</v>
      </c>
      <c r="G8">
        <v>12</v>
      </c>
      <c r="H8">
        <f t="shared" si="0"/>
        <v>20</v>
      </c>
      <c r="I8">
        <f t="shared" si="2"/>
        <v>0</v>
      </c>
      <c r="J8">
        <f t="shared" si="1"/>
        <v>3</v>
      </c>
    </row>
    <row r="9" spans="1:10" x14ac:dyDescent="0.25">
      <c r="A9" t="s">
        <v>126</v>
      </c>
      <c r="B9">
        <v>48</v>
      </c>
      <c r="C9">
        <v>89.6</v>
      </c>
      <c r="D9">
        <v>5</v>
      </c>
      <c r="E9">
        <v>82</v>
      </c>
      <c r="F9">
        <v>81.7</v>
      </c>
      <c r="G9">
        <v>15</v>
      </c>
      <c r="H9">
        <f t="shared" si="0"/>
        <v>34</v>
      </c>
      <c r="I9">
        <f t="shared" si="2"/>
        <v>8</v>
      </c>
      <c r="J9">
        <f t="shared" si="1"/>
        <v>10</v>
      </c>
    </row>
    <row r="10" spans="1:10" x14ac:dyDescent="0.25">
      <c r="A10" t="s">
        <v>127</v>
      </c>
      <c r="B10">
        <v>0</v>
      </c>
      <c r="C10">
        <v>0</v>
      </c>
      <c r="D10">
        <v>0</v>
      </c>
      <c r="E10">
        <v>21</v>
      </c>
      <c r="F10">
        <v>100</v>
      </c>
      <c r="G10">
        <v>0</v>
      </c>
      <c r="H10">
        <f t="shared" si="0"/>
        <v>21</v>
      </c>
      <c r="I10">
        <f t="shared" si="2"/>
        <v>9</v>
      </c>
      <c r="J10">
        <f t="shared" si="1"/>
        <v>0</v>
      </c>
    </row>
    <row r="11" spans="1:10" x14ac:dyDescent="0.25">
      <c r="A11" t="s">
        <v>128</v>
      </c>
      <c r="B11">
        <v>0</v>
      </c>
      <c r="C11">
        <v>0</v>
      </c>
      <c r="D11">
        <v>0</v>
      </c>
      <c r="E11">
        <v>24</v>
      </c>
      <c r="F11">
        <v>87.5</v>
      </c>
      <c r="G11">
        <v>3</v>
      </c>
      <c r="H11">
        <f t="shared" si="0"/>
        <v>24</v>
      </c>
      <c r="I11">
        <f t="shared" si="2"/>
        <v>6</v>
      </c>
      <c r="J11">
        <f t="shared" si="1"/>
        <v>3</v>
      </c>
    </row>
    <row r="12" spans="1:10" x14ac:dyDescent="0.25">
      <c r="A12" t="s">
        <v>129</v>
      </c>
      <c r="B12">
        <v>62</v>
      </c>
      <c r="C12">
        <v>83.9</v>
      </c>
      <c r="D12">
        <v>10</v>
      </c>
      <c r="E12">
        <v>87</v>
      </c>
      <c r="F12">
        <v>83.9</v>
      </c>
      <c r="G12">
        <v>14</v>
      </c>
      <c r="H12">
        <f t="shared" si="0"/>
        <v>25</v>
      </c>
      <c r="I12">
        <f t="shared" si="2"/>
        <v>0</v>
      </c>
      <c r="J12">
        <f t="shared" si="1"/>
        <v>4</v>
      </c>
    </row>
    <row r="13" spans="1:10" x14ac:dyDescent="0.25">
      <c r="A13" t="s">
        <v>130</v>
      </c>
      <c r="B13">
        <v>0</v>
      </c>
      <c r="C13">
        <v>0</v>
      </c>
      <c r="D13">
        <v>0</v>
      </c>
      <c r="E13">
        <v>26</v>
      </c>
      <c r="F13">
        <v>80.8</v>
      </c>
      <c r="G13">
        <v>5</v>
      </c>
      <c r="H13">
        <f t="shared" si="0"/>
        <v>26</v>
      </c>
      <c r="I13">
        <f t="shared" si="2"/>
        <v>4</v>
      </c>
      <c r="J13">
        <f t="shared" si="1"/>
        <v>5</v>
      </c>
    </row>
    <row r="14" spans="1:10" x14ac:dyDescent="0.25">
      <c r="A14" t="s">
        <v>131</v>
      </c>
      <c r="B14">
        <v>41</v>
      </c>
      <c r="C14">
        <v>90.2</v>
      </c>
      <c r="D14">
        <v>4</v>
      </c>
      <c r="E14">
        <v>47</v>
      </c>
      <c r="F14">
        <v>89.4</v>
      </c>
      <c r="G14">
        <v>5</v>
      </c>
      <c r="H14">
        <f t="shared" si="0"/>
        <v>6</v>
      </c>
      <c r="I14">
        <f t="shared" si="2"/>
        <v>0</v>
      </c>
      <c r="J14">
        <f t="shared" si="1"/>
        <v>1</v>
      </c>
    </row>
    <row r="15" spans="1:10" x14ac:dyDescent="0.25">
      <c r="A15" t="s">
        <v>132</v>
      </c>
      <c r="B15">
        <v>0</v>
      </c>
      <c r="C15">
        <v>0</v>
      </c>
      <c r="D15">
        <v>0</v>
      </c>
      <c r="E15">
        <v>31</v>
      </c>
      <c r="F15">
        <v>80.7</v>
      </c>
      <c r="G15">
        <v>6</v>
      </c>
      <c r="H15">
        <f t="shared" si="0"/>
        <v>31</v>
      </c>
      <c r="I15">
        <f t="shared" si="2"/>
        <v>5</v>
      </c>
      <c r="J15">
        <f t="shared" si="1"/>
        <v>6</v>
      </c>
    </row>
    <row r="16" spans="1:10" x14ac:dyDescent="0.25">
      <c r="A16" t="s">
        <v>133</v>
      </c>
      <c r="B16">
        <v>0</v>
      </c>
      <c r="C16">
        <v>0</v>
      </c>
      <c r="D16">
        <v>0</v>
      </c>
      <c r="E16">
        <v>31</v>
      </c>
      <c r="F16">
        <v>80.7</v>
      </c>
      <c r="G16">
        <v>6</v>
      </c>
      <c r="H16">
        <f t="shared" si="0"/>
        <v>31</v>
      </c>
      <c r="I16">
        <f t="shared" si="2"/>
        <v>5</v>
      </c>
      <c r="J16">
        <f t="shared" si="1"/>
        <v>6</v>
      </c>
    </row>
    <row r="17" spans="1:10" x14ac:dyDescent="0.25">
      <c r="A17" t="s">
        <v>134</v>
      </c>
      <c r="B17">
        <v>145</v>
      </c>
      <c r="C17">
        <v>84.8</v>
      </c>
      <c r="D17">
        <v>22</v>
      </c>
      <c r="E17">
        <v>158</v>
      </c>
      <c r="F17">
        <v>83.5</v>
      </c>
      <c r="G17">
        <v>24</v>
      </c>
      <c r="H17">
        <f t="shared" si="0"/>
        <v>13</v>
      </c>
      <c r="I17">
        <f t="shared" si="2"/>
        <v>0</v>
      </c>
      <c r="J17">
        <f t="shared" si="1"/>
        <v>2</v>
      </c>
    </row>
    <row r="18" spans="1:10" x14ac:dyDescent="0.25">
      <c r="A18" t="s">
        <v>135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f t="shared" si="0"/>
        <v>0</v>
      </c>
      <c r="I18">
        <f t="shared" si="2"/>
        <v>30</v>
      </c>
      <c r="J18">
        <f t="shared" si="1"/>
        <v>0</v>
      </c>
    </row>
    <row r="19" spans="1:10" x14ac:dyDescent="0.25">
      <c r="A19" t="s">
        <v>136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f t="shared" si="0"/>
        <v>0</v>
      </c>
      <c r="I19">
        <f t="shared" si="2"/>
        <v>30</v>
      </c>
      <c r="J19">
        <f t="shared" si="1"/>
        <v>0</v>
      </c>
    </row>
    <row r="20" spans="1:10" x14ac:dyDescent="0.25">
      <c r="A20" t="s">
        <v>137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f t="shared" si="0"/>
        <v>0</v>
      </c>
      <c r="I20">
        <f t="shared" si="2"/>
        <v>30</v>
      </c>
      <c r="J20">
        <f t="shared" si="1"/>
        <v>0</v>
      </c>
    </row>
    <row r="21" spans="1:10" x14ac:dyDescent="0.25">
      <c r="A21" t="s">
        <v>138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f t="shared" si="0"/>
        <v>0</v>
      </c>
      <c r="I21">
        <f t="shared" si="2"/>
        <v>30</v>
      </c>
      <c r="J21">
        <f t="shared" si="1"/>
        <v>0</v>
      </c>
    </row>
    <row r="22" spans="1:10" x14ac:dyDescent="0.25">
      <c r="A22" t="s">
        <v>139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f t="shared" si="0"/>
        <v>0</v>
      </c>
      <c r="I22">
        <f t="shared" si="2"/>
        <v>30</v>
      </c>
      <c r="J22">
        <f t="shared" si="1"/>
        <v>0</v>
      </c>
    </row>
    <row r="23" spans="1:10" x14ac:dyDescent="0.25">
      <c r="A23" t="s">
        <v>140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f t="shared" si="0"/>
        <v>0</v>
      </c>
      <c r="I23">
        <f t="shared" si="2"/>
        <v>30</v>
      </c>
      <c r="J23">
        <f t="shared" si="1"/>
        <v>0</v>
      </c>
    </row>
    <row r="24" spans="1:10" x14ac:dyDescent="0.25">
      <c r="A24" t="s">
        <v>141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f t="shared" si="0"/>
        <v>0</v>
      </c>
      <c r="I24">
        <f t="shared" si="2"/>
        <v>30</v>
      </c>
      <c r="J24">
        <f t="shared" si="1"/>
        <v>0</v>
      </c>
    </row>
    <row r="25" spans="1:10" x14ac:dyDescent="0.25">
      <c r="A25" t="s">
        <v>142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f t="shared" si="0"/>
        <v>0</v>
      </c>
      <c r="I25">
        <f t="shared" si="2"/>
        <v>30</v>
      </c>
      <c r="J25">
        <f t="shared" si="1"/>
        <v>0</v>
      </c>
    </row>
    <row r="26" spans="1:10" x14ac:dyDescent="0.25">
      <c r="A26" t="s">
        <v>143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f t="shared" si="0"/>
        <v>0</v>
      </c>
      <c r="I26">
        <f t="shared" si="2"/>
        <v>30</v>
      </c>
      <c r="J26">
        <f t="shared" si="1"/>
        <v>0</v>
      </c>
    </row>
    <row r="27" spans="1:10" x14ac:dyDescent="0.25">
      <c r="A27" t="s">
        <v>144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f t="shared" si="0"/>
        <v>0</v>
      </c>
      <c r="I27">
        <f t="shared" si="2"/>
        <v>30</v>
      </c>
      <c r="J27">
        <f t="shared" si="1"/>
        <v>0</v>
      </c>
    </row>
    <row r="28" spans="1:10" x14ac:dyDescent="0.25">
      <c r="A28" t="s">
        <v>145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f t="shared" si="0"/>
        <v>0</v>
      </c>
      <c r="I28">
        <f t="shared" si="2"/>
        <v>30</v>
      </c>
      <c r="J28">
        <f t="shared" si="1"/>
        <v>0</v>
      </c>
    </row>
    <row r="29" spans="1:10" x14ac:dyDescent="0.25">
      <c r="A29" t="s">
        <v>146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f t="shared" si="0"/>
        <v>0</v>
      </c>
      <c r="I29">
        <f t="shared" si="2"/>
        <v>30</v>
      </c>
      <c r="J29">
        <f t="shared" si="1"/>
        <v>0</v>
      </c>
    </row>
    <row r="30" spans="1:10" x14ac:dyDescent="0.25">
      <c r="A30" t="s">
        <v>147</v>
      </c>
      <c r="B30">
        <v>1</v>
      </c>
      <c r="C30">
        <v>100</v>
      </c>
      <c r="D30">
        <v>0</v>
      </c>
      <c r="E30">
        <v>1</v>
      </c>
      <c r="F30">
        <v>100</v>
      </c>
      <c r="G30">
        <v>0</v>
      </c>
      <c r="H30">
        <f t="shared" si="0"/>
        <v>0</v>
      </c>
      <c r="I30">
        <f t="shared" si="2"/>
        <v>29</v>
      </c>
      <c r="J30">
        <f t="shared" si="1"/>
        <v>0</v>
      </c>
    </row>
    <row r="31" spans="1:10" x14ac:dyDescent="0.25">
      <c r="H31">
        <f>SUM(H2:H30)</f>
        <v>343</v>
      </c>
    </row>
    <row r="36" spans="2:3" x14ac:dyDescent="0.25">
      <c r="B36" t="s">
        <v>149</v>
      </c>
      <c r="C36" t="s">
        <v>151</v>
      </c>
    </row>
    <row r="37" spans="2:3" x14ac:dyDescent="0.25">
      <c r="B37" t="s">
        <v>152</v>
      </c>
      <c r="C37" t="s">
        <v>153</v>
      </c>
    </row>
  </sheetData>
  <autoFilter ref="A1:J30" xr:uid="{00000000-0001-0000-0100-000000000000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A386-E91E-4712-9F67-30E81BCC0FDC}">
  <dimension ref="A1:E35"/>
  <sheetViews>
    <sheetView zoomScale="130" zoomScaleNormal="130" workbookViewId="0">
      <selection activeCell="F43" sqref="F43"/>
    </sheetView>
  </sheetViews>
  <sheetFormatPr defaultRowHeight="15" x14ac:dyDescent="0.25"/>
  <cols>
    <col min="1" max="1" width="15.28515625" customWidth="1"/>
    <col min="4" max="4" width="12" bestFit="1" customWidth="1"/>
  </cols>
  <sheetData>
    <row r="1" spans="1:5" x14ac:dyDescent="0.25">
      <c r="A1" t="s">
        <v>202</v>
      </c>
      <c r="B1" t="s">
        <v>203</v>
      </c>
      <c r="C1" t="s">
        <v>204</v>
      </c>
      <c r="D1" t="s">
        <v>205</v>
      </c>
      <c r="E1" t="s">
        <v>206</v>
      </c>
    </row>
    <row r="2" spans="1:5" x14ac:dyDescent="0.25">
      <c r="A2" s="6">
        <v>40118</v>
      </c>
      <c r="B2">
        <v>50</v>
      </c>
      <c r="D2">
        <f>(A2-$A$2)/365.25</f>
        <v>0</v>
      </c>
    </row>
    <row r="3" spans="1:5" x14ac:dyDescent="0.25">
      <c r="A3" s="6">
        <v>41381</v>
      </c>
      <c r="B3">
        <v>80</v>
      </c>
      <c r="C3">
        <v>50</v>
      </c>
      <c r="D3">
        <f>(A3-$A$2)/365.25</f>
        <v>3.4579055441478439</v>
      </c>
      <c r="E3">
        <f>(A3-$A$3)/365.25</f>
        <v>0</v>
      </c>
    </row>
    <row r="4" spans="1:5" x14ac:dyDescent="0.25">
      <c r="A4" s="4">
        <v>43539</v>
      </c>
      <c r="B4" s="3">
        <v>129</v>
      </c>
      <c r="C4" s="3">
        <v>112</v>
      </c>
      <c r="D4">
        <f t="shared" ref="D4:D35" si="0">(A4-$A$2)/365.25</f>
        <v>9.3661875427789187</v>
      </c>
      <c r="E4">
        <f>(A4-$A$3)/365.25</f>
        <v>5.9082819986310744</v>
      </c>
    </row>
    <row r="5" spans="1:5" x14ac:dyDescent="0.25">
      <c r="A5" s="4">
        <v>43661</v>
      </c>
      <c r="B5" s="3">
        <v>131</v>
      </c>
      <c r="C5" s="3">
        <v>114</v>
      </c>
      <c r="D5">
        <f t="shared" si="0"/>
        <v>9.7002053388090346</v>
      </c>
      <c r="E5">
        <f t="shared" ref="E5:E35" si="1">(A5-$A$3)/365.25</f>
        <v>6.2422997946611911</v>
      </c>
    </row>
    <row r="6" spans="1:5" x14ac:dyDescent="0.25">
      <c r="A6" s="4">
        <v>43788</v>
      </c>
      <c r="B6" s="3">
        <v>133</v>
      </c>
      <c r="C6" s="3">
        <v>117</v>
      </c>
      <c r="D6">
        <f t="shared" si="0"/>
        <v>10.047912388774812</v>
      </c>
      <c r="E6">
        <f t="shared" si="1"/>
        <v>6.5900068446269682</v>
      </c>
    </row>
    <row r="7" spans="1:5" x14ac:dyDescent="0.25">
      <c r="A7" s="4">
        <v>43876</v>
      </c>
      <c r="B7" s="3">
        <v>135</v>
      </c>
      <c r="C7" s="3">
        <v>118.5</v>
      </c>
      <c r="D7">
        <f t="shared" si="0"/>
        <v>10.288843258042437</v>
      </c>
      <c r="E7">
        <f t="shared" si="1"/>
        <v>6.8309377138945928</v>
      </c>
    </row>
    <row r="8" spans="1:5" x14ac:dyDescent="0.25">
      <c r="A8" s="4">
        <v>43981</v>
      </c>
      <c r="B8" s="3">
        <v>136</v>
      </c>
      <c r="C8" s="3">
        <v>121.5</v>
      </c>
      <c r="D8">
        <f t="shared" si="0"/>
        <v>10.576317590691307</v>
      </c>
      <c r="E8">
        <f t="shared" si="1"/>
        <v>7.1184120465434635</v>
      </c>
    </row>
    <row r="9" spans="1:5" x14ac:dyDescent="0.25">
      <c r="A9" s="4">
        <v>44072</v>
      </c>
      <c r="B9" s="3">
        <v>136.5</v>
      </c>
      <c r="C9" s="3">
        <v>122.5</v>
      </c>
      <c r="D9">
        <f t="shared" si="0"/>
        <v>10.825462012320328</v>
      </c>
      <c r="E9">
        <f t="shared" si="1"/>
        <v>7.3675564681724843</v>
      </c>
    </row>
    <row r="10" spans="1:5" x14ac:dyDescent="0.25">
      <c r="A10" s="4">
        <v>44157</v>
      </c>
      <c r="B10" s="3">
        <v>137.5</v>
      </c>
      <c r="C10" s="3">
        <v>124</v>
      </c>
      <c r="D10">
        <f t="shared" si="0"/>
        <v>11.058179329226558</v>
      </c>
      <c r="E10">
        <f t="shared" si="1"/>
        <v>7.6002737850787137</v>
      </c>
    </row>
    <row r="11" spans="1:5" x14ac:dyDescent="0.25">
      <c r="A11" s="4">
        <v>44269</v>
      </c>
      <c r="B11" s="3">
        <v>138</v>
      </c>
      <c r="C11" s="3">
        <v>125.5</v>
      </c>
      <c r="D11">
        <f t="shared" si="0"/>
        <v>11.364818617385353</v>
      </c>
      <c r="E11">
        <f t="shared" si="1"/>
        <v>7.9069130732375088</v>
      </c>
    </row>
    <row r="12" spans="1:5" x14ac:dyDescent="0.25">
      <c r="A12" s="4">
        <v>44392</v>
      </c>
      <c r="B12" s="3">
        <v>139.5</v>
      </c>
      <c r="C12" s="3">
        <v>127</v>
      </c>
      <c r="D12">
        <f t="shared" si="0"/>
        <v>11.7015742642026</v>
      </c>
      <c r="E12">
        <f t="shared" si="1"/>
        <v>8.2436687200547567</v>
      </c>
    </row>
    <row r="13" spans="1:5" x14ac:dyDescent="0.25">
      <c r="A13" s="4">
        <v>44516</v>
      </c>
      <c r="B13" s="3">
        <v>143</v>
      </c>
      <c r="C13" s="3">
        <v>129.5</v>
      </c>
      <c r="D13">
        <f t="shared" si="0"/>
        <v>12.041067761806982</v>
      </c>
      <c r="E13">
        <f t="shared" si="1"/>
        <v>8.5831622176591384</v>
      </c>
    </row>
    <row r="14" spans="1:5" x14ac:dyDescent="0.25">
      <c r="A14" s="4">
        <v>44554</v>
      </c>
      <c r="B14" s="3">
        <v>144</v>
      </c>
      <c r="C14" s="7">
        <v>131</v>
      </c>
      <c r="D14">
        <f t="shared" si="0"/>
        <v>12.145106091718</v>
      </c>
      <c r="E14">
        <f t="shared" si="1"/>
        <v>8.687200547570157</v>
      </c>
    </row>
    <row r="15" spans="1:5" x14ac:dyDescent="0.25">
      <c r="A15" s="4">
        <v>44597</v>
      </c>
      <c r="B15" s="3">
        <v>146</v>
      </c>
      <c r="C15" s="3">
        <v>133</v>
      </c>
      <c r="D15">
        <f t="shared" si="0"/>
        <v>12.262833675564682</v>
      </c>
      <c r="E15">
        <f t="shared" si="1"/>
        <v>8.8049281314168386</v>
      </c>
    </row>
    <row r="16" spans="1:5" x14ac:dyDescent="0.25">
      <c r="A16" s="4">
        <v>44738</v>
      </c>
      <c r="B16" s="3">
        <v>150.5</v>
      </c>
      <c r="C16" s="3">
        <v>135</v>
      </c>
      <c r="D16">
        <f t="shared" si="0"/>
        <v>12.648870636550308</v>
      </c>
      <c r="E16">
        <f t="shared" si="1"/>
        <v>9.1909650924024646</v>
      </c>
    </row>
    <row r="17" spans="1:5" x14ac:dyDescent="0.25">
      <c r="A17" s="4">
        <v>44814</v>
      </c>
      <c r="B17" s="3">
        <v>151</v>
      </c>
      <c r="C17" s="3">
        <v>135.5</v>
      </c>
      <c r="D17">
        <f t="shared" si="0"/>
        <v>12.856947296372347</v>
      </c>
      <c r="E17">
        <f t="shared" si="1"/>
        <v>9.3990417522245036</v>
      </c>
    </row>
    <row r="18" spans="1:5" x14ac:dyDescent="0.25">
      <c r="A18" s="4">
        <v>44863</v>
      </c>
      <c r="B18" s="3">
        <v>153</v>
      </c>
      <c r="C18" s="3">
        <v>137</v>
      </c>
      <c r="D18">
        <f t="shared" si="0"/>
        <v>12.991101984941821</v>
      </c>
      <c r="E18">
        <f t="shared" si="1"/>
        <v>9.5331964407939775</v>
      </c>
    </row>
    <row r="19" spans="1:5" x14ac:dyDescent="0.25">
      <c r="A19" s="4">
        <v>44933</v>
      </c>
      <c r="B19" s="3">
        <v>154</v>
      </c>
      <c r="C19" s="3">
        <v>137.5</v>
      </c>
      <c r="D19">
        <f t="shared" si="0"/>
        <v>13.182751540041068</v>
      </c>
      <c r="E19">
        <f t="shared" si="1"/>
        <v>9.7248459958932241</v>
      </c>
    </row>
    <row r="20" spans="1:5" x14ac:dyDescent="0.25">
      <c r="A20" s="4">
        <v>44947</v>
      </c>
      <c r="B20" s="3">
        <v>155</v>
      </c>
      <c r="C20" s="3">
        <v>138.5</v>
      </c>
      <c r="D20">
        <f t="shared" si="0"/>
        <v>13.221081451060916</v>
      </c>
      <c r="E20">
        <f t="shared" si="1"/>
        <v>9.763175906913073</v>
      </c>
    </row>
    <row r="21" spans="1:5" x14ac:dyDescent="0.25">
      <c r="A21" s="4">
        <v>44969</v>
      </c>
      <c r="B21" s="3">
        <v>156</v>
      </c>
      <c r="C21" s="7">
        <v>139</v>
      </c>
      <c r="D21">
        <f t="shared" si="0"/>
        <v>13.281314168377824</v>
      </c>
      <c r="E21">
        <f t="shared" si="1"/>
        <v>9.8234086242299803</v>
      </c>
    </row>
    <row r="22" spans="1:5" x14ac:dyDescent="0.25">
      <c r="A22" s="4">
        <v>45038</v>
      </c>
      <c r="B22" s="3">
        <v>157.5</v>
      </c>
      <c r="C22" s="3">
        <v>139.5</v>
      </c>
      <c r="D22">
        <f t="shared" si="0"/>
        <v>13.470225872689939</v>
      </c>
      <c r="E22">
        <f t="shared" si="1"/>
        <v>10.012320328542094</v>
      </c>
    </row>
    <row r="23" spans="1:5" x14ac:dyDescent="0.25">
      <c r="A23" s="4">
        <v>45089</v>
      </c>
      <c r="B23" s="3">
        <v>159</v>
      </c>
      <c r="C23" s="3">
        <v>141.5</v>
      </c>
      <c r="D23">
        <f t="shared" si="0"/>
        <v>13.609856262833675</v>
      </c>
      <c r="E23">
        <f t="shared" si="1"/>
        <v>10.151950718685832</v>
      </c>
    </row>
    <row r="24" spans="1:5" x14ac:dyDescent="0.25">
      <c r="A24" s="4">
        <v>45123</v>
      </c>
      <c r="B24" s="3">
        <v>160.5</v>
      </c>
      <c r="C24" s="3">
        <v>142.5</v>
      </c>
      <c r="D24">
        <f t="shared" si="0"/>
        <v>13.702943189596168</v>
      </c>
      <c r="E24">
        <f t="shared" si="1"/>
        <v>10.245037645448322</v>
      </c>
    </row>
    <row r="25" spans="1:5" x14ac:dyDescent="0.25">
      <c r="A25" s="4">
        <v>45150</v>
      </c>
      <c r="B25" s="3">
        <v>162</v>
      </c>
      <c r="C25" s="7">
        <v>143</v>
      </c>
      <c r="D25">
        <f t="shared" si="0"/>
        <v>13.776865160848734</v>
      </c>
      <c r="E25">
        <f t="shared" si="1"/>
        <v>10.318959616700889</v>
      </c>
    </row>
    <row r="26" spans="1:5" x14ac:dyDescent="0.25">
      <c r="A26" s="4">
        <v>45216</v>
      </c>
      <c r="B26" s="3">
        <v>163</v>
      </c>
      <c r="C26" s="3">
        <v>144</v>
      </c>
      <c r="D26">
        <f t="shared" si="0"/>
        <v>13.957563312799453</v>
      </c>
      <c r="E26">
        <f t="shared" si="1"/>
        <v>10.499657768651609</v>
      </c>
    </row>
    <row r="27" spans="1:5" x14ac:dyDescent="0.25">
      <c r="A27" s="4">
        <v>45269</v>
      </c>
      <c r="B27" s="3">
        <v>164.5</v>
      </c>
      <c r="C27" s="3">
        <v>146</v>
      </c>
      <c r="D27">
        <f t="shared" si="0"/>
        <v>14.102669404517453</v>
      </c>
      <c r="E27">
        <f t="shared" si="1"/>
        <v>10.64476386036961</v>
      </c>
    </row>
    <row r="28" spans="1:5" x14ac:dyDescent="0.25">
      <c r="A28" s="4">
        <v>45292</v>
      </c>
      <c r="B28" s="7">
        <v>165</v>
      </c>
      <c r="C28" s="3">
        <v>147.5</v>
      </c>
      <c r="D28">
        <f t="shared" si="0"/>
        <v>14.165639972621491</v>
      </c>
      <c r="E28">
        <f t="shared" si="1"/>
        <v>10.707734428473648</v>
      </c>
    </row>
    <row r="29" spans="1:5" x14ac:dyDescent="0.25">
      <c r="A29" s="4">
        <v>45339</v>
      </c>
      <c r="B29" s="3">
        <v>166</v>
      </c>
      <c r="C29" s="7">
        <v>149</v>
      </c>
      <c r="D29">
        <f t="shared" si="0"/>
        <v>14.294318959616701</v>
      </c>
      <c r="E29">
        <f t="shared" si="1"/>
        <v>10.836413415468858</v>
      </c>
    </row>
    <row r="30" spans="1:5" x14ac:dyDescent="0.25">
      <c r="A30" s="4">
        <v>45402</v>
      </c>
      <c r="B30" s="3">
        <v>167</v>
      </c>
      <c r="C30" s="3">
        <v>151</v>
      </c>
      <c r="D30">
        <f t="shared" si="0"/>
        <v>14.466803559206022</v>
      </c>
      <c r="E30">
        <f t="shared" si="1"/>
        <v>11.008898015058179</v>
      </c>
    </row>
    <row r="31" spans="1:5" x14ac:dyDescent="0.25">
      <c r="A31" s="4">
        <v>45451</v>
      </c>
      <c r="B31" s="3">
        <v>168.5</v>
      </c>
      <c r="C31" s="3">
        <v>152.5</v>
      </c>
      <c r="D31">
        <f t="shared" si="0"/>
        <v>14.600958247775496</v>
      </c>
      <c r="E31">
        <f t="shared" si="1"/>
        <v>11.143052703627653</v>
      </c>
    </row>
    <row r="32" spans="1:5" x14ac:dyDescent="0.25">
      <c r="A32" s="4">
        <v>45570</v>
      </c>
      <c r="B32" s="3">
        <v>170</v>
      </c>
      <c r="C32" s="3">
        <v>155</v>
      </c>
      <c r="D32">
        <f t="shared" si="0"/>
        <v>14.926762491444217</v>
      </c>
      <c r="E32">
        <f t="shared" si="1"/>
        <v>11.468856947296372</v>
      </c>
    </row>
    <row r="33" spans="1:5" x14ac:dyDescent="0.25">
      <c r="A33" s="4">
        <v>45590</v>
      </c>
      <c r="B33" s="7">
        <v>170.5</v>
      </c>
      <c r="C33" s="3">
        <v>156.5</v>
      </c>
      <c r="D33">
        <f t="shared" si="0"/>
        <v>14.981519507186858</v>
      </c>
      <c r="E33">
        <f t="shared" si="1"/>
        <v>11.523613963039015</v>
      </c>
    </row>
    <row r="34" spans="1:5" x14ac:dyDescent="0.25">
      <c r="A34" s="4">
        <v>45624</v>
      </c>
      <c r="B34" s="3">
        <v>171</v>
      </c>
      <c r="C34" s="3">
        <v>158</v>
      </c>
      <c r="D34">
        <f t="shared" si="0"/>
        <v>15.07460643394935</v>
      </c>
      <c r="E34">
        <f t="shared" si="1"/>
        <v>11.616700889801505</v>
      </c>
    </row>
    <row r="35" spans="1:5" x14ac:dyDescent="0.25">
      <c r="A35" s="5">
        <v>45690</v>
      </c>
      <c r="B35" s="3">
        <v>171.5</v>
      </c>
      <c r="C35" s="3">
        <v>159.5</v>
      </c>
      <c r="D35">
        <f t="shared" si="0"/>
        <v>15.255304585900069</v>
      </c>
      <c r="E35">
        <f t="shared" si="1"/>
        <v>11.797399041752225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6A18-8370-4A36-8164-CE0CB016E693}">
  <dimension ref="B1:M21"/>
  <sheetViews>
    <sheetView workbookViewId="0">
      <selection activeCell="C21" sqref="C21"/>
    </sheetView>
  </sheetViews>
  <sheetFormatPr defaultRowHeight="15" x14ac:dyDescent="0.25"/>
  <cols>
    <col min="2" max="2" width="22.7109375" customWidth="1"/>
    <col min="3" max="3" width="33.140625" customWidth="1"/>
  </cols>
  <sheetData>
    <row r="1" spans="2:13" x14ac:dyDescent="0.25">
      <c r="D1" t="s">
        <v>209</v>
      </c>
      <c r="E1" t="s">
        <v>210</v>
      </c>
      <c r="F1" t="s">
        <v>211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</row>
    <row r="3" spans="2:13" x14ac:dyDescent="0.25">
      <c r="B3" t="s">
        <v>207</v>
      </c>
    </row>
    <row r="4" spans="2:13" x14ac:dyDescent="0.25">
      <c r="C4" t="s">
        <v>208</v>
      </c>
      <c r="D4" t="s">
        <v>219</v>
      </c>
      <c r="E4" t="s">
        <v>219</v>
      </c>
    </row>
    <row r="5" spans="2:13" x14ac:dyDescent="0.25">
      <c r="C5" t="s">
        <v>212</v>
      </c>
    </row>
    <row r="6" spans="2:13" x14ac:dyDescent="0.25">
      <c r="C6" t="s">
        <v>213</v>
      </c>
    </row>
    <row r="7" spans="2:13" x14ac:dyDescent="0.25">
      <c r="C7" t="s">
        <v>214</v>
      </c>
    </row>
    <row r="8" spans="2:13" x14ac:dyDescent="0.25">
      <c r="C8" t="s">
        <v>215</v>
      </c>
    </row>
    <row r="9" spans="2:13" x14ac:dyDescent="0.25">
      <c r="C9" t="s">
        <v>216</v>
      </c>
    </row>
    <row r="10" spans="2:13" x14ac:dyDescent="0.25">
      <c r="C10" t="s">
        <v>217</v>
      </c>
    </row>
    <row r="11" spans="2:13" x14ac:dyDescent="0.25">
      <c r="C11" t="s">
        <v>218</v>
      </c>
    </row>
    <row r="13" spans="2:13" x14ac:dyDescent="0.25">
      <c r="B13" t="s">
        <v>207</v>
      </c>
    </row>
    <row r="14" spans="2:13" x14ac:dyDescent="0.25">
      <c r="C14" t="s">
        <v>208</v>
      </c>
    </row>
    <row r="15" spans="2:13" x14ac:dyDescent="0.25">
      <c r="C15" t="s">
        <v>212</v>
      </c>
    </row>
    <row r="16" spans="2:13" x14ac:dyDescent="0.25">
      <c r="C16" t="s">
        <v>213</v>
      </c>
    </row>
    <row r="17" spans="3:3" x14ac:dyDescent="0.25">
      <c r="C17" t="s">
        <v>214</v>
      </c>
    </row>
    <row r="18" spans="3:3" x14ac:dyDescent="0.25">
      <c r="C18" t="s">
        <v>215</v>
      </c>
    </row>
    <row r="19" spans="3:3" x14ac:dyDescent="0.25">
      <c r="C19" t="s">
        <v>216</v>
      </c>
    </row>
    <row r="20" spans="3:3" x14ac:dyDescent="0.25">
      <c r="C20" t="s">
        <v>217</v>
      </c>
    </row>
    <row r="21" spans="3:3" x14ac:dyDescent="0.25">
      <c r="C21" t="s">
        <v>218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Algebra</vt:lpstr>
      <vt:lpstr>Intermediate Algebra</vt:lpstr>
      <vt:lpstr>Prealgebra</vt:lpstr>
      <vt:lpstr>4149 Introduction to Algebra A</vt:lpstr>
      <vt:lpstr>4429 Introduction to Algebra B</vt:lpstr>
      <vt:lpstr>Geometry</vt:lpstr>
      <vt:lpstr>Heights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He</cp:lastModifiedBy>
  <cp:lastPrinted>2024-03-30T02:19:08Z</cp:lastPrinted>
  <dcterms:created xsi:type="dcterms:W3CDTF">2023-12-05T04:10:05Z</dcterms:created>
  <dcterms:modified xsi:type="dcterms:W3CDTF">2025-09-30T09:58:48Z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2023-12-19T02:03:22Z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a72f5ac9-e483-4827-9bb7-f0c9c5dd6485</vt:lpwstr>
  </property>
  <property fmtid="{D5CDD505-2E9C-101B-9397-08002B2CF9AE}" pid="8" name="MSIP_Label_ea60d57e-af5b-4752-ac57-3e4f28ca11dc_ContentBits">
    <vt:lpwstr>0</vt:lpwstr>
  </property>
</Properties>
</file>